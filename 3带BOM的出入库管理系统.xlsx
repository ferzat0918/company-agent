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55" activeTab="2"/>
  </bookViews>
  <sheets>
    <sheet name="封面" sheetId="1" r:id="rId1"/>
    <sheet name="基础信息表" sheetId="3" r:id="rId2"/>
    <sheet name="BOM清单" sheetId="2" r:id="rId3"/>
    <sheet name="原材料出入库表" sheetId="6" r:id="rId4"/>
    <sheet name="成品出入库表" sheetId="4" r:id="rId5"/>
    <sheet name="原材料库存表" sheetId="5" r:id="rId6"/>
    <sheet name="成品库存表" sheetId="9" r:id="rId7"/>
    <sheet name="使用说明" sheetId="7" r:id="rId8"/>
    <sheet name="Sheet1" sheetId="8" r:id="rId9"/>
  </sheets>
  <definedNames>
    <definedName name="_xlnm._FilterDatabase" localSheetId="3" hidden="1">原材料出入库表!$A$2:$L$61</definedName>
    <definedName name="_xlnm._FilterDatabase" localSheetId="4" hidden="1">成品出入库表!$A$2:$N$63</definedName>
    <definedName name="_xlnm._FilterDatabase" localSheetId="6" hidden="1">成品库存表!$A$2:$H$56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<sst xmlns="http://schemas.openxmlformats.org/spreadsheetml/2006/main" count="168" uniqueCount="100">
  <si>
    <t>成品信息</t>
  </si>
  <si>
    <t>原料信息</t>
  </si>
  <si>
    <t>成品编号</t>
  </si>
  <si>
    <t>成品名称</t>
  </si>
  <si>
    <t>售价</t>
  </si>
  <si>
    <t>原料编号</t>
  </si>
  <si>
    <t>原料名称</t>
  </si>
  <si>
    <t>单价</t>
  </si>
  <si>
    <t>最低库存</t>
  </si>
  <si>
    <t>最高库存</t>
  </si>
  <si>
    <t>GP1001</t>
  </si>
  <si>
    <t>成品1</t>
  </si>
  <si>
    <t>YL1001</t>
  </si>
  <si>
    <t>原料1</t>
  </si>
  <si>
    <t>GP1002</t>
  </si>
  <si>
    <t>成品2</t>
  </si>
  <si>
    <t>YL1002</t>
  </si>
  <si>
    <t>原料2</t>
  </si>
  <si>
    <t>GP1003</t>
  </si>
  <si>
    <t>成品3</t>
  </si>
  <si>
    <t>YL1003</t>
  </si>
  <si>
    <t>原料3</t>
  </si>
  <si>
    <t>GP1004</t>
  </si>
  <si>
    <t>成品4</t>
  </si>
  <si>
    <t>YL1004</t>
  </si>
  <si>
    <t>原料4</t>
  </si>
  <si>
    <t>GP1005</t>
  </si>
  <si>
    <t>成品5</t>
  </si>
  <si>
    <t>YL1005</t>
  </si>
  <si>
    <t>原料5</t>
  </si>
  <si>
    <t>GP1006</t>
  </si>
  <si>
    <t>成品6</t>
  </si>
  <si>
    <t>YL1006</t>
  </si>
  <si>
    <t>原料6</t>
  </si>
  <si>
    <t>GP1007</t>
  </si>
  <si>
    <t>成品7</t>
  </si>
  <si>
    <t>YL1007</t>
  </si>
  <si>
    <t>原料7</t>
  </si>
  <si>
    <t>GP1008</t>
  </si>
  <si>
    <t>成品8</t>
  </si>
  <si>
    <t>YL1008</t>
  </si>
  <si>
    <t>原料8</t>
  </si>
  <si>
    <t>GP1009</t>
  </si>
  <si>
    <t>成品9</t>
  </si>
  <si>
    <t>YL1009</t>
  </si>
  <si>
    <t>原料9</t>
  </si>
  <si>
    <t>GP1010</t>
  </si>
  <si>
    <t>成品10</t>
  </si>
  <si>
    <t>YL1010</t>
  </si>
  <si>
    <t>原料10</t>
  </si>
  <si>
    <t>BOM清单</t>
  </si>
  <si>
    <t>辅助计算（请勿动）</t>
  </si>
  <si>
    <t>原材料编号</t>
  </si>
  <si>
    <t>原材料名称</t>
  </si>
  <si>
    <t>原材料数量</t>
  </si>
  <si>
    <t>最新单价</t>
  </si>
  <si>
    <t>金额</t>
  </si>
  <si>
    <t>损耗率</t>
  </si>
  <si>
    <t>成本</t>
  </si>
  <si>
    <t>备注</t>
  </si>
  <si>
    <t>成品出库数量</t>
  </si>
  <si>
    <t>所需原料数量</t>
  </si>
  <si>
    <t>原材料出入库登记表</t>
  </si>
  <si>
    <t>序号</t>
  </si>
  <si>
    <t>年份</t>
  </si>
  <si>
    <t>时间</t>
  </si>
  <si>
    <t>类型</t>
  </si>
  <si>
    <t>对应产品编码</t>
  </si>
  <si>
    <t>规格型号</t>
  </si>
  <si>
    <t>数量</t>
  </si>
  <si>
    <t>采购入库</t>
  </si>
  <si>
    <t>报损出库（需要走报损流程）</t>
  </si>
  <si>
    <t>生产出库</t>
  </si>
  <si>
    <t>退货出库</t>
  </si>
  <si>
    <t>成品出入库登记表</t>
  </si>
  <si>
    <t xml:space="preserve">时间 </t>
  </si>
  <si>
    <t>平台</t>
  </si>
  <si>
    <t>客户名称</t>
  </si>
  <si>
    <t>回购</t>
  </si>
  <si>
    <t>应收金额</t>
  </si>
  <si>
    <t>回款日期</t>
  </si>
  <si>
    <t>销售出库</t>
  </si>
  <si>
    <t>淘宝</t>
  </si>
  <si>
    <t>退货入库</t>
  </si>
  <si>
    <t>领用出库</t>
  </si>
  <si>
    <t>报损出库</t>
  </si>
  <si>
    <t>原材料库存表（自动）</t>
  </si>
  <si>
    <t>入库数量</t>
  </si>
  <si>
    <t>出库数量</t>
  </si>
  <si>
    <t>现有库存</t>
  </si>
  <si>
    <t>最低预警</t>
  </si>
  <si>
    <t>最高预警</t>
  </si>
  <si>
    <t>成品库存表（自动）</t>
  </si>
  <si>
    <t>原材料出入库表-D列</t>
  </si>
  <si>
    <t>成品出入库表-E列</t>
  </si>
  <si>
    <t>成品出入库表-D列</t>
  </si>
  <si>
    <t>小红书</t>
  </si>
  <si>
    <t>京东</t>
  </si>
  <si>
    <t>抖音</t>
  </si>
  <si>
    <t>线下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</si>
</sst>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m/d;@"/>
  </numFmts>
  <fonts count="31">
    <font>
      <sz val="11"/>
      <color theme="1"/>
      <name val="宋体"/>
      <charset val="134"/>
      <scheme val="minor"/>
    </font>
    <font>
      <sz val="11"/>
      <color theme="1"/>
      <name val="微软雅黑 Light"/>
      <charset val="134"/>
    </font>
    <font>
      <sz val="10"/>
      <color theme="1"/>
      <name val="微软雅黑 Light"/>
      <charset val="134"/>
    </font>
    <font>
      <b/>
      <sz val="18"/>
      <color theme="0"/>
      <name val="微软雅黑 Light"/>
      <charset val="134"/>
    </font>
    <font>
      <b/>
      <sz val="11"/>
      <color theme="0"/>
      <name val="微软雅黑 Light"/>
      <charset val="134"/>
    </font>
    <font>
      <sz val="18"/>
      <color theme="0"/>
      <name val="微软雅黑 Light"/>
      <charset val="134"/>
    </font>
    <font>
      <sz val="18"/>
      <color theme="1"/>
      <name val="微软雅黑 Light"/>
      <charset val="134"/>
    </font>
    <font>
      <sz val="11"/>
      <color theme="0"/>
      <name val="微软雅黑 Light"/>
      <charset val="134"/>
    </font>
    <font>
      <sz val="11"/>
      <color theme="1"/>
      <name val="思源宋体 CN"/>
      <charset val="134"/>
    </font>
    <font>
      <sz val="16"/>
      <color theme="1"/>
      <name val="思源宋体 CN Heavy"/>
      <charset val="134"/>
    </font>
    <font>
      <sz val="16"/>
      <color theme="1"/>
      <name val="宋体"/>
      <charset val="134"/>
      <scheme val="minor"/>
    </font>
    <font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DBCF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A6897C"/>
      </right>
      <top style="medium">
        <color rgb="FF471F1F"/>
      </top>
      <bottom style="thin">
        <color rgb="FFA6897C"/>
      </bottom>
      <diagonal/>
    </border>
    <border>
      <left style="thin">
        <color rgb="FFA6897C"/>
      </left>
      <right style="thin">
        <color rgb="FFA6897C"/>
      </right>
      <top style="medium">
        <color rgb="FF471F1F"/>
      </top>
      <bottom style="thin">
        <color rgb="FFA6897C"/>
      </bottom>
      <diagonal/>
    </border>
    <border>
      <left style="thin">
        <color rgb="FFA6897C"/>
      </left>
      <right style="thin">
        <color auto="1"/>
      </right>
      <top style="medium">
        <color rgb="FF471F1F"/>
      </top>
      <bottom style="thin">
        <color rgb="FFA6897C"/>
      </bottom>
      <diagonal/>
    </border>
    <border>
      <left style="thin">
        <color rgb="FFA6897C"/>
      </left>
      <right style="thin">
        <color rgb="FFA6897C"/>
      </right>
      <top style="thin">
        <color rgb="FFA6897C"/>
      </top>
      <bottom style="thin">
        <color rgb="FFA6897C"/>
      </bottom>
      <diagonal/>
    </border>
    <border>
      <left style="thin">
        <color rgb="FFA6897C"/>
      </left>
      <right style="thin">
        <color rgb="FFA6897C"/>
      </right>
      <top style="medium">
        <color rgb="FF471F1F"/>
      </top>
      <bottom style="medium">
        <color rgb="FF471F1F"/>
      </bottom>
      <diagonal/>
    </border>
    <border>
      <left style="medium">
        <color rgb="FF471F1F"/>
      </left>
      <right style="thin">
        <color rgb="FFA6897C"/>
      </right>
      <top style="medium">
        <color rgb="FF471F1F"/>
      </top>
      <bottom style="medium">
        <color rgb="FF471F1F"/>
      </bottom>
      <diagonal/>
    </border>
    <border>
      <left style="thin">
        <color rgb="FFA6897C"/>
      </left>
      <right/>
      <top style="medium">
        <color rgb="FF471F1F"/>
      </top>
      <bottom style="medium">
        <color rgb="FF471F1F"/>
      </bottom>
      <diagonal/>
    </border>
    <border>
      <left style="thin">
        <color rgb="FFA6897C"/>
      </left>
      <right style="medium">
        <color rgb="FF471F1F"/>
      </right>
      <top style="medium">
        <color rgb="FF471F1F"/>
      </top>
      <bottom style="medium">
        <color rgb="FF471F1F"/>
      </bottom>
      <diagonal/>
    </border>
    <border>
      <left style="medium">
        <color rgb="FF471F1F"/>
      </left>
      <right style="thin">
        <color rgb="FFA6897C"/>
      </right>
      <top style="thin">
        <color rgb="FFA6897C"/>
      </top>
      <bottom style="thin">
        <color rgb="FFA6897C"/>
      </bottom>
      <diagonal/>
    </border>
    <border>
      <left style="thin">
        <color rgb="FFA6897C"/>
      </left>
      <right/>
      <top style="thin">
        <color rgb="FFA6897C"/>
      </top>
      <bottom style="thin">
        <color rgb="FFA6897C"/>
      </bottom>
      <diagonal/>
    </border>
    <border>
      <left style="thin">
        <color rgb="FFA6897C"/>
      </left>
      <right style="medium">
        <color rgb="FF471F1F"/>
      </right>
      <top style="thin">
        <color rgb="FFA6897C"/>
      </top>
      <bottom style="thin">
        <color rgb="FFA6897C"/>
      </bottom>
      <diagonal/>
    </border>
    <border>
      <left style="medium">
        <color rgb="FF471F1F"/>
      </left>
      <right style="thin">
        <color rgb="FFA6897C"/>
      </right>
      <top style="thin">
        <color rgb="FFA6897C"/>
      </top>
      <bottom style="medium">
        <color rgb="FF471F1F"/>
      </bottom>
      <diagonal/>
    </border>
    <border>
      <left style="thin">
        <color rgb="FFA6897C"/>
      </left>
      <right style="thin">
        <color rgb="FFA6897C"/>
      </right>
      <top style="thin">
        <color rgb="FFA6897C"/>
      </top>
      <bottom style="medium">
        <color rgb="FF471F1F"/>
      </bottom>
      <diagonal/>
    </border>
    <border>
      <left style="thin">
        <color rgb="FFA6897C"/>
      </left>
      <right/>
      <top style="thin">
        <color rgb="FFA6897C"/>
      </top>
      <bottom style="medium">
        <color rgb="FF471F1F"/>
      </bottom>
      <diagonal/>
    </border>
    <border>
      <left style="thin">
        <color rgb="FFA6897C"/>
      </left>
      <right style="medium">
        <color rgb="FF471F1F"/>
      </right>
      <top style="thin">
        <color rgb="FFA6897C"/>
      </top>
      <bottom style="medium">
        <color rgb="FF47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1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2" applyNumberFormat="0" applyAlignment="0" applyProtection="0">
      <alignment vertical="center"/>
    </xf>
    <xf numFmtId="0" fontId="21" fillId="8" borderId="23" applyNumberFormat="0" applyAlignment="0" applyProtection="0">
      <alignment vertical="center"/>
    </xf>
    <xf numFmtId="0" fontId="22" fillId="8" borderId="22" applyNumberFormat="0" applyAlignment="0" applyProtection="0">
      <alignment vertical="center"/>
    </xf>
    <xf numFmtId="0" fontId="23" fillId="9" borderId="24" applyNumberFormat="0" applyAlignment="0" applyProtection="0">
      <alignment vertical="center"/>
    </xf>
    <xf numFmtId="0" fontId="24" fillId="0" borderId="25" applyNumberFormat="0" applyFill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55">
    <xf numFmtId="0" fontId="0" fillId="0" borderId="0" xfId="0"/>
    <xf numFmtId="0" fontId="0" fillId="0" borderId="0" xfId="49">
      <alignment vertical="center"/>
    </xf>
    <xf numFmtId="0" fontId="0" fillId="0" borderId="0" xfId="49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76" fontId="1" fillId="0" borderId="7" xfId="0" applyNumberFormat="1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177" fontId="1" fillId="4" borderId="7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4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7" xfId="0" applyFont="1" applyBorder="1"/>
    <xf numFmtId="0" fontId="11" fillId="0" borderId="0" xfId="0" applyFont="1" applyAlignment="1">
      <alignment vertical="center" wrapText="1"/>
    </xf>
    <xf numFmtId="3" fontId="11" fillId="0" borderId="0" xfId="0" applyNumberFormat="1" applyFont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hyperlink" Target="#&#20351;&#29992;&#35828;&#26126;!A1"/><Relationship Id="rId5" Type="http://schemas.openxmlformats.org/officeDocument/2006/relationships/hyperlink" Target="#&#21407;&#26448;&#26009;&#24211;&#23384;&#34920;!A1"/><Relationship Id="rId4" Type="http://schemas.openxmlformats.org/officeDocument/2006/relationships/hyperlink" Target="#&#25104;&#21697;&#20986;&#24211;&#34920;!A1"/><Relationship Id="rId3" Type="http://schemas.openxmlformats.org/officeDocument/2006/relationships/hyperlink" Target="#&#21407;&#26448;&#26009;&#20837;&#24211;&#34920;!A1"/><Relationship Id="rId2" Type="http://schemas.openxmlformats.org/officeDocument/2006/relationships/hyperlink" Target="#BOM&#28165;&#21333;!A1"/><Relationship Id="rId1" Type="http://schemas.openxmlformats.org/officeDocument/2006/relationships/hyperlink" Target="#&#22522;&#30784;&#20449;&#24687;&#34920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23553;&#38754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19050</xdr:rowOff>
    </xdr:from>
    <xdr:to>
      <xdr:col>2</xdr:col>
      <xdr:colOff>500400</xdr:colOff>
      <xdr:row>30</xdr:row>
      <xdr:rowOff>133350</xdr:rowOff>
    </xdr:to>
    <xdr:sp>
      <xdr:nvSpPr>
        <xdr:cNvPr id="2" name="矩形 1"/>
        <xdr:cNvSpPr/>
      </xdr:nvSpPr>
      <xdr:spPr>
        <a:xfrm>
          <a:off x="0" y="19050"/>
          <a:ext cx="1854835" cy="5588000"/>
        </a:xfrm>
        <a:prstGeom prst="rect">
          <a:avLst/>
        </a:prstGeom>
        <a:solidFill>
          <a:srgbClr val="56453D"/>
        </a:solidFill>
        <a:ln>
          <a:solidFill>
            <a:srgbClr val="56453D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514350</xdr:colOff>
      <xdr:row>0</xdr:row>
      <xdr:rowOff>19050</xdr:rowOff>
    </xdr:from>
    <xdr:to>
      <xdr:col>5</xdr:col>
      <xdr:colOff>328950</xdr:colOff>
      <xdr:row>30</xdr:row>
      <xdr:rowOff>133350</xdr:rowOff>
    </xdr:to>
    <xdr:sp>
      <xdr:nvSpPr>
        <xdr:cNvPr id="3" name="矩形 2"/>
        <xdr:cNvSpPr/>
      </xdr:nvSpPr>
      <xdr:spPr>
        <a:xfrm>
          <a:off x="1868805" y="19050"/>
          <a:ext cx="1778635" cy="5588000"/>
        </a:xfrm>
        <a:prstGeom prst="rect">
          <a:avLst/>
        </a:prstGeom>
        <a:solidFill>
          <a:srgbClr val="0D0C0C"/>
        </a:solidFill>
        <a:ln>
          <a:solidFill>
            <a:srgbClr val="0D0C0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342900</xdr:colOff>
      <xdr:row>0</xdr:row>
      <xdr:rowOff>19050</xdr:rowOff>
    </xdr:from>
    <xdr:to>
      <xdr:col>8</xdr:col>
      <xdr:colOff>157500</xdr:colOff>
      <xdr:row>30</xdr:row>
      <xdr:rowOff>133350</xdr:rowOff>
    </xdr:to>
    <xdr:sp>
      <xdr:nvSpPr>
        <xdr:cNvPr id="4" name="矩形 3"/>
        <xdr:cNvSpPr/>
      </xdr:nvSpPr>
      <xdr:spPr>
        <a:xfrm>
          <a:off x="3661410" y="19050"/>
          <a:ext cx="1751965" cy="5588000"/>
        </a:xfrm>
        <a:prstGeom prst="rect">
          <a:avLst/>
        </a:prstGeom>
        <a:solidFill>
          <a:srgbClr val="6B5A52"/>
        </a:solidFill>
        <a:ln>
          <a:solidFill>
            <a:srgbClr val="6B5A5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0</xdr:colOff>
      <xdr:row>0</xdr:row>
      <xdr:rowOff>19050</xdr:rowOff>
    </xdr:from>
    <xdr:to>
      <xdr:col>13</xdr:col>
      <xdr:colOff>500400</xdr:colOff>
      <xdr:row>30</xdr:row>
      <xdr:rowOff>133350</xdr:rowOff>
    </xdr:to>
    <xdr:sp>
      <xdr:nvSpPr>
        <xdr:cNvPr id="5" name="矩形 4"/>
        <xdr:cNvSpPr/>
      </xdr:nvSpPr>
      <xdr:spPr>
        <a:xfrm>
          <a:off x="7193280" y="19050"/>
          <a:ext cx="1865630" cy="5588000"/>
        </a:xfrm>
        <a:prstGeom prst="rect">
          <a:avLst/>
        </a:prstGeom>
        <a:solidFill>
          <a:srgbClr val="DBCFCA"/>
        </a:solidFill>
        <a:ln>
          <a:solidFill>
            <a:srgbClr val="DBCFC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171450</xdr:colOff>
      <xdr:row>0</xdr:row>
      <xdr:rowOff>19050</xdr:rowOff>
    </xdr:from>
    <xdr:to>
      <xdr:col>10</xdr:col>
      <xdr:colOff>671850</xdr:colOff>
      <xdr:row>30</xdr:row>
      <xdr:rowOff>133350</xdr:rowOff>
    </xdr:to>
    <xdr:sp>
      <xdr:nvSpPr>
        <xdr:cNvPr id="6" name="矩形 5"/>
        <xdr:cNvSpPr/>
      </xdr:nvSpPr>
      <xdr:spPr>
        <a:xfrm>
          <a:off x="5427345" y="19050"/>
          <a:ext cx="1765935" cy="5588000"/>
        </a:xfrm>
        <a:prstGeom prst="rect">
          <a:avLst/>
        </a:prstGeom>
        <a:solidFill>
          <a:srgbClr val="A6897C"/>
        </a:solidFill>
        <a:ln>
          <a:solidFill>
            <a:srgbClr val="A6897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123825</xdr:colOff>
      <xdr:row>1</xdr:row>
      <xdr:rowOff>19050</xdr:rowOff>
    </xdr:from>
    <xdr:to>
      <xdr:col>13</xdr:col>
      <xdr:colOff>314325</xdr:colOff>
      <xdr:row>29</xdr:row>
      <xdr:rowOff>114300</xdr:rowOff>
    </xdr:to>
    <xdr:sp>
      <xdr:nvSpPr>
        <xdr:cNvPr id="7" name="矩形 6"/>
        <xdr:cNvSpPr/>
      </xdr:nvSpPr>
      <xdr:spPr>
        <a:xfrm>
          <a:off x="123825" y="190500"/>
          <a:ext cx="8756015" cy="52260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358954</xdr:colOff>
      <xdr:row>2</xdr:row>
      <xdr:rowOff>85726</xdr:rowOff>
    </xdr:from>
    <xdr:to>
      <xdr:col>11</xdr:col>
      <xdr:colOff>244749</xdr:colOff>
      <xdr:row>5</xdr:row>
      <xdr:rowOff>114301</xdr:rowOff>
    </xdr:to>
    <xdr:sp>
      <xdr:nvSpPr>
        <xdr:cNvPr id="8" name="矩形 7"/>
        <xdr:cNvSpPr/>
      </xdr:nvSpPr>
      <xdr:spPr>
        <a:xfrm>
          <a:off x="1713230" y="428625"/>
          <a:ext cx="5724525" cy="5759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4000">
              <a:solidFill>
                <a:srgbClr val="471F1F"/>
              </a:solidFill>
              <a:latin typeface="思源宋体 CN Heavy" pitchFamily="18" charset="-122"/>
              <a:ea typeface="思源宋体 CN Heavy" pitchFamily="18" charset="-122"/>
            </a:rPr>
            <a:t>带</a:t>
          </a:r>
          <a:r>
            <a:rPr lang="en-US" altLang="zh-CN" sz="4000">
              <a:solidFill>
                <a:srgbClr val="471F1F"/>
              </a:solidFill>
              <a:latin typeface="思源宋体 CN Heavy" pitchFamily="18" charset="-122"/>
              <a:ea typeface="思源宋体 CN Heavy" pitchFamily="18" charset="-122"/>
            </a:rPr>
            <a:t>BOM</a:t>
          </a:r>
          <a:r>
            <a:rPr lang="zh-CN" altLang="en-US" sz="4000">
              <a:solidFill>
                <a:srgbClr val="471F1F"/>
              </a:solidFill>
              <a:latin typeface="思源宋体 CN Heavy" pitchFamily="18" charset="-122"/>
              <a:ea typeface="思源宋体 CN Heavy" pitchFamily="18" charset="-122"/>
            </a:rPr>
            <a:t>的出入库管理系统</a:t>
          </a:r>
          <a:endParaRPr lang="zh-CN" altLang="en-US" sz="4000">
            <a:solidFill>
              <a:srgbClr val="471F1F"/>
            </a:solidFill>
            <a:latin typeface="思源宋体 CN Heavy" pitchFamily="18" charset="-122"/>
            <a:ea typeface="思源宋体 CN Heavy" pitchFamily="18" charset="-122"/>
          </a:endParaRPr>
        </a:p>
      </xdr:txBody>
    </xdr:sp>
    <xdr:clientData/>
  </xdr:twoCellAnchor>
  <xdr:twoCellAnchor>
    <xdr:from>
      <xdr:col>2</xdr:col>
      <xdr:colOff>257175</xdr:colOff>
      <xdr:row>6</xdr:row>
      <xdr:rowOff>28575</xdr:rowOff>
    </xdr:from>
    <xdr:to>
      <xdr:col>7</xdr:col>
      <xdr:colOff>251813</xdr:colOff>
      <xdr:row>6</xdr:row>
      <xdr:rowOff>28575</xdr:rowOff>
    </xdr:to>
    <xdr:cxnSp>
      <xdr:nvCxnSpPr>
        <xdr:cNvPr id="9" name="直接连接符 8"/>
        <xdr:cNvCxnSpPr/>
      </xdr:nvCxnSpPr>
      <xdr:spPr>
        <a:xfrm>
          <a:off x="1611630" y="1123315"/>
          <a:ext cx="3249930" cy="0"/>
        </a:xfrm>
        <a:prstGeom prst="line">
          <a:avLst/>
        </a:prstGeom>
        <a:ln>
          <a:solidFill>
            <a:srgbClr val="471F1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281587</xdr:colOff>
      <xdr:row>6</xdr:row>
      <xdr:rowOff>95250</xdr:rowOff>
    </xdr:from>
    <xdr:to>
      <xdr:col>11</xdr:col>
      <xdr:colOff>276225</xdr:colOff>
      <xdr:row>6</xdr:row>
      <xdr:rowOff>95250</xdr:rowOff>
    </xdr:to>
    <xdr:cxnSp>
      <xdr:nvCxnSpPr>
        <xdr:cNvPr id="10" name="直接连接符 9"/>
        <xdr:cNvCxnSpPr/>
      </xdr:nvCxnSpPr>
      <xdr:spPr>
        <a:xfrm>
          <a:off x="4245610" y="1189990"/>
          <a:ext cx="3223895" cy="0"/>
        </a:xfrm>
        <a:prstGeom prst="line">
          <a:avLst/>
        </a:prstGeom>
        <a:ln>
          <a:solidFill>
            <a:srgbClr val="471F1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619125</xdr:colOff>
      <xdr:row>9</xdr:row>
      <xdr:rowOff>95250</xdr:rowOff>
    </xdr:from>
    <xdr:to>
      <xdr:col>6</xdr:col>
      <xdr:colOff>266701</xdr:colOff>
      <xdr:row>12</xdr:row>
      <xdr:rowOff>104776</xdr:rowOff>
    </xdr:to>
    <xdr:sp>
      <xdr:nvSpPr>
        <xdr:cNvPr id="11" name="圆角矩形 10">
          <a:hlinkClick xmlns:r="http://schemas.openxmlformats.org/officeDocument/2006/relationships" r:id="rId1"/>
        </xdr:cNvPr>
        <xdr:cNvSpPr/>
      </xdr:nvSpPr>
      <xdr:spPr>
        <a:xfrm>
          <a:off x="1973580" y="1803400"/>
          <a:ext cx="2257425" cy="52387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基础信息表</a:t>
          </a:r>
          <a:endParaRPr lang="zh-CN" altLang="en-US" sz="18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  <xdr:twoCellAnchor>
    <xdr:from>
      <xdr:col>2</xdr:col>
      <xdr:colOff>619125</xdr:colOff>
      <xdr:row>13</xdr:row>
      <xdr:rowOff>147638</xdr:rowOff>
    </xdr:from>
    <xdr:to>
      <xdr:col>6</xdr:col>
      <xdr:colOff>266701</xdr:colOff>
      <xdr:row>16</xdr:row>
      <xdr:rowOff>109539</xdr:rowOff>
    </xdr:to>
    <xdr:sp>
      <xdr:nvSpPr>
        <xdr:cNvPr id="12" name="圆角矩形 11">
          <a:hlinkClick xmlns:r="http://schemas.openxmlformats.org/officeDocument/2006/relationships" r:id="rId2"/>
        </xdr:cNvPr>
        <xdr:cNvSpPr/>
      </xdr:nvSpPr>
      <xdr:spPr>
        <a:xfrm>
          <a:off x="1973580" y="2541270"/>
          <a:ext cx="2257425" cy="509270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8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BOM</a:t>
          </a:r>
          <a:r>
            <a:rPr lang="zh-CN" altLang="en-US" sz="18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清单</a:t>
          </a:r>
          <a:endParaRPr lang="zh-CN" altLang="en-US" sz="18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  <xdr:twoCellAnchor>
    <xdr:from>
      <xdr:col>2</xdr:col>
      <xdr:colOff>619125</xdr:colOff>
      <xdr:row>17</xdr:row>
      <xdr:rowOff>104775</xdr:rowOff>
    </xdr:from>
    <xdr:to>
      <xdr:col>6</xdr:col>
      <xdr:colOff>266701</xdr:colOff>
      <xdr:row>19</xdr:row>
      <xdr:rowOff>190501</xdr:rowOff>
    </xdr:to>
    <xdr:sp>
      <xdr:nvSpPr>
        <xdr:cNvPr id="13" name="圆角矩形 12">
          <a:hlinkClick xmlns:r="http://schemas.openxmlformats.org/officeDocument/2006/relationships" r:id="rId3"/>
        </xdr:cNvPr>
        <xdr:cNvSpPr/>
      </xdr:nvSpPr>
      <xdr:spPr>
        <a:xfrm>
          <a:off x="1973580" y="3250565"/>
          <a:ext cx="2257425" cy="49466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原料入库表</a:t>
          </a:r>
          <a:endParaRPr lang="zh-CN" altLang="en-US" sz="18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  <xdr:twoCellAnchor>
    <xdr:from>
      <xdr:col>7</xdr:col>
      <xdr:colOff>57150</xdr:colOff>
      <xdr:row>9</xdr:row>
      <xdr:rowOff>95250</xdr:rowOff>
    </xdr:from>
    <xdr:to>
      <xdr:col>10</xdr:col>
      <xdr:colOff>390526</xdr:colOff>
      <xdr:row>12</xdr:row>
      <xdr:rowOff>104776</xdr:rowOff>
    </xdr:to>
    <xdr:sp>
      <xdr:nvSpPr>
        <xdr:cNvPr id="14" name="圆角矩形 13">
          <a:hlinkClick xmlns:r="http://schemas.openxmlformats.org/officeDocument/2006/relationships" r:id="rId4"/>
        </xdr:cNvPr>
        <xdr:cNvSpPr/>
      </xdr:nvSpPr>
      <xdr:spPr>
        <a:xfrm>
          <a:off x="4667250" y="1803400"/>
          <a:ext cx="2270760" cy="52387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成品出库表</a:t>
          </a:r>
          <a:endParaRPr lang="zh-CN" altLang="en-US" sz="18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  <xdr:twoCellAnchor>
    <xdr:from>
      <xdr:col>7</xdr:col>
      <xdr:colOff>57150</xdr:colOff>
      <xdr:row>13</xdr:row>
      <xdr:rowOff>147638</xdr:rowOff>
    </xdr:from>
    <xdr:to>
      <xdr:col>10</xdr:col>
      <xdr:colOff>390526</xdr:colOff>
      <xdr:row>16</xdr:row>
      <xdr:rowOff>109539</xdr:rowOff>
    </xdr:to>
    <xdr:sp>
      <xdr:nvSpPr>
        <xdr:cNvPr id="15" name="圆角矩形 14">
          <a:hlinkClick xmlns:r="http://schemas.openxmlformats.org/officeDocument/2006/relationships" r:id="rId5"/>
        </xdr:cNvPr>
        <xdr:cNvSpPr/>
      </xdr:nvSpPr>
      <xdr:spPr>
        <a:xfrm>
          <a:off x="4667250" y="2541270"/>
          <a:ext cx="2270760" cy="509270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原料库存表</a:t>
          </a:r>
          <a:endParaRPr lang="zh-CN" altLang="en-US" sz="18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  <xdr:twoCellAnchor>
    <xdr:from>
      <xdr:col>7</xdr:col>
      <xdr:colOff>57150</xdr:colOff>
      <xdr:row>17</xdr:row>
      <xdr:rowOff>104775</xdr:rowOff>
    </xdr:from>
    <xdr:to>
      <xdr:col>10</xdr:col>
      <xdr:colOff>390526</xdr:colOff>
      <xdr:row>19</xdr:row>
      <xdr:rowOff>190501</xdr:rowOff>
    </xdr:to>
    <xdr:sp>
      <xdr:nvSpPr>
        <xdr:cNvPr id="16" name="圆角矩形 15">
          <a:hlinkClick xmlns:r="http://schemas.openxmlformats.org/officeDocument/2006/relationships" r:id="rId6"/>
        </xdr:cNvPr>
        <xdr:cNvSpPr/>
      </xdr:nvSpPr>
      <xdr:spPr>
        <a:xfrm>
          <a:off x="4667250" y="3250565"/>
          <a:ext cx="2270760" cy="49466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8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使用说明</a:t>
          </a:r>
          <a:endParaRPr lang="zh-CN" altLang="en-US" sz="18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466725</xdr:colOff>
      <xdr:row>0</xdr:row>
      <xdr:rowOff>19050</xdr:rowOff>
    </xdr:from>
    <xdr:to>
      <xdr:col>12</xdr:col>
      <xdr:colOff>85725</xdr:colOff>
      <xdr:row>0</xdr:row>
      <xdr:rowOff>257175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10241915" y="19050"/>
          <a:ext cx="910590" cy="23812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返回封面</a:t>
          </a:r>
          <a:endParaRPr lang="zh-CN" altLang="en-US" sz="12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361950</xdr:colOff>
      <xdr:row>0</xdr:row>
      <xdr:rowOff>0</xdr:rowOff>
    </xdr:from>
    <xdr:to>
      <xdr:col>16</xdr:col>
      <xdr:colOff>666750</xdr:colOff>
      <xdr:row>0</xdr:row>
      <xdr:rowOff>238125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15810230" y="0"/>
          <a:ext cx="929640" cy="23812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返回封面</a:t>
          </a:r>
          <a:endParaRPr lang="zh-CN" altLang="en-US" sz="12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0</xdr:colOff>
      <xdr:row>0</xdr:row>
      <xdr:rowOff>0</xdr:rowOff>
    </xdr:from>
    <xdr:to>
      <xdr:col>13</xdr:col>
      <xdr:colOff>304800</xdr:colOff>
      <xdr:row>0</xdr:row>
      <xdr:rowOff>238125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10902950" y="0"/>
          <a:ext cx="950595" cy="23812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返回封面</a:t>
          </a:r>
          <a:endParaRPr lang="zh-CN" altLang="en-US" sz="12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14</xdr:col>
      <xdr:colOff>0</xdr:colOff>
      <xdr:row>0</xdr:row>
      <xdr:rowOff>0</xdr:rowOff>
    </xdr:from>
    <xdr:to>
      <xdr:col>15</xdr:col>
      <xdr:colOff>304800</xdr:colOff>
      <xdr:row>0</xdr:row>
      <xdr:rowOff>238125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12280265" y="0"/>
          <a:ext cx="950595" cy="23812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返回封面</a:t>
          </a:r>
          <a:endParaRPr lang="zh-CN" altLang="en-US" sz="12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304800</xdr:colOff>
      <xdr:row>0</xdr:row>
      <xdr:rowOff>238125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10876280" y="0"/>
          <a:ext cx="950595" cy="23812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2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返回封面</a:t>
          </a:r>
          <a:endParaRPr lang="zh-CN" altLang="en-US" sz="12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304800</xdr:colOff>
      <xdr:row>0</xdr:row>
      <xdr:rowOff>238125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11032490" y="0"/>
          <a:ext cx="950595" cy="238125"/>
        </a:xfrm>
        <a:prstGeom prst="roundRect">
          <a:avLst/>
        </a:prstGeom>
        <a:solidFill>
          <a:srgbClr val="DBCFCA"/>
        </a:solidFill>
        <a:ln w="6350">
          <a:solidFill>
            <a:srgbClr val="471F1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200" b="1">
              <a:solidFill>
                <a:schemeClr val="tx1"/>
              </a:solidFill>
              <a:latin typeface="思源宋体 CN SemiBold" pitchFamily="18" charset="-122"/>
              <a:ea typeface="思源宋体 CN SemiBold" pitchFamily="18" charset="-122"/>
            </a:rPr>
            <a:t>返回封面</a:t>
          </a:r>
          <a:endParaRPr lang="zh-CN" altLang="en-US" sz="1200" b="1">
            <a:solidFill>
              <a:schemeClr val="tx1"/>
            </a:solidFill>
            <a:latin typeface="思源宋体 CN SemiBold" pitchFamily="18" charset="-122"/>
            <a:ea typeface="思源宋体 CN SemiBold" pitchFamily="18" charset="-122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2811</xdr:colOff>
      <xdr:row>2</xdr:row>
      <xdr:rowOff>113665</xdr:rowOff>
    </xdr:from>
    <xdr:to>
      <xdr:col>16</xdr:col>
      <xdr:colOff>488727</xdr:colOff>
      <xdr:row>72</xdr:row>
      <xdr:rowOff>59001</xdr:rowOff>
    </xdr:to>
    <xdr:sp>
      <xdr:nvSpPr>
        <xdr:cNvPr id="2" name="矩形 1"/>
        <xdr:cNvSpPr/>
      </xdr:nvSpPr>
      <xdr:spPr>
        <a:xfrm>
          <a:off x="1276350" y="456565"/>
          <a:ext cx="9402445" cy="1194625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>
    <xdr:from>
      <xdr:col>1</xdr:col>
      <xdr:colOff>619125</xdr:colOff>
      <xdr:row>5</xdr:row>
      <xdr:rowOff>131461</xdr:rowOff>
    </xdr:from>
    <xdr:to>
      <xdr:col>9</xdr:col>
      <xdr:colOff>42427</xdr:colOff>
      <xdr:row>10</xdr:row>
      <xdr:rowOff>115695</xdr:rowOff>
    </xdr:to>
    <xdr:grpSp>
      <xdr:nvGrpSpPr>
        <xdr:cNvPr id="3" name="组合 102"/>
        <xdr:cNvGrpSpPr/>
      </xdr:nvGrpSpPr>
      <xdr:grpSpPr>
        <a:xfrm>
          <a:off x="1256030" y="988695"/>
          <a:ext cx="4518025" cy="841375"/>
          <a:chOff x="-48" y="701"/>
          <a:chExt cx="6845" cy="1407"/>
        </a:xfrm>
      </xdr:grpSpPr>
      <xdr:sp>
        <xdr:nvSpPr>
          <xdr:cNvPr id="4" name="矩形 3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5" name="文本框 6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/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Times New Roman" panose="02020603050405020304" pitchFamily="1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Times New Roman" panose="02020603050405020304" pitchFamily="1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Times New Roman" panose="02020603050405020304" pitchFamily="1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思源黑体 CN Medium" pitchFamily="34" charset="-122"/>
              <a:ea typeface="思源黑体 CN Medium" pitchFamily="3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6" name="文本框 7"/>
          <xdr:cNvSpPr txBox="1"/>
        </xdr:nvSpPr>
        <xdr:spPr>
          <a:xfrm>
            <a:off x="74" y="1481"/>
            <a:ext cx="5912" cy="627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Times New Roman" panose="02020603050405020304" pitchFamily="1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思源黑体 CN Medium" pitchFamily="34" charset="-122"/>
              <a:ea typeface="思源黑体 CN Medium" pitchFamily="3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92899</xdr:colOff>
      <xdr:row>14</xdr:row>
      <xdr:rowOff>80612</xdr:rowOff>
    </xdr:from>
    <xdr:to>
      <xdr:col>10</xdr:col>
      <xdr:colOff>92899</xdr:colOff>
      <xdr:row>68</xdr:row>
      <xdr:rowOff>12507</xdr:rowOff>
    </xdr:to>
    <xdr:cxnSp>
      <xdr:nvCxnSpPr>
        <xdr:cNvPr id="7" name="直接连接符 6"/>
        <xdr:cNvCxnSpPr/>
      </xdr:nvCxnSpPr>
      <xdr:spPr>
        <a:xfrm>
          <a:off x="6461760" y="2480310"/>
          <a:ext cx="0" cy="919035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525855</xdr:colOff>
      <xdr:row>11</xdr:row>
      <xdr:rowOff>27473</xdr:rowOff>
    </xdr:from>
    <xdr:to>
      <xdr:col>16</xdr:col>
      <xdr:colOff>448446</xdr:colOff>
      <xdr:row>59</xdr:row>
      <xdr:rowOff>10539</xdr:rowOff>
    </xdr:to>
    <xdr:grpSp>
      <xdr:nvGrpSpPr>
        <xdr:cNvPr id="8" name="组合 7"/>
        <xdr:cNvGrpSpPr/>
      </xdr:nvGrpSpPr>
      <xdr:grpSpPr>
        <a:xfrm>
          <a:off x="6894830" y="1913255"/>
          <a:ext cx="3743960" cy="8212455"/>
          <a:chOff x="10398" y="3270"/>
          <a:chExt cx="5662" cy="14140"/>
        </a:xfrm>
      </xdr:grpSpPr>
      <xdr:grpSp>
        <xdr:nvGrpSpPr>
          <xdr:cNvPr id="9" name="组合 8"/>
          <xdr:cNvGrpSpPr/>
        </xdr:nvGrpSpPr>
        <xdr:grpSpPr>
          <a:xfrm>
            <a:off x="10411" y="3270"/>
            <a:ext cx="4941" cy="6751"/>
            <a:chOff x="10412" y="3270"/>
            <a:chExt cx="4941" cy="6751"/>
          </a:xfrm>
        </xdr:grpSpPr>
        <xdr:sp>
          <xdr:nvSpPr>
            <xdr:cNvPr id="20" name="文本框 1"/>
            <xdr:cNvSpPr txBox="1"/>
          </xdr:nvSpPr>
          <xdr:spPr>
            <a:xfrm>
              <a:off x="10576" y="7432"/>
              <a:ext cx="4777" cy="2589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>
              <a:defPPr>
                <a:defRPr lang="zh-CN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 fontAlgn="auto">
                <a:lnSpc>
                  <a:spcPct val="150000"/>
                </a:lnSpc>
                <a:spcAft>
                  <a:spcPts val="600"/>
                </a:spcAft>
              </a:pPr>
              <a:r>
                <a:rPr lang="zh-CN" altLang="en-US" sz="900">
                  <a:solidFill>
                    <a:srgbClr val="222222">
                      <a:alpha val="60000"/>
                    </a:srgbClr>
                  </a:solidFill>
                  <a:latin typeface="思源黑体 CN Medium" pitchFamily="34" charset="-122"/>
                  <a:ea typeface="思源黑体 CN Medium" pitchFamily="34" charset="-122"/>
                  <a:cs typeface="黑体" panose="02010609060101010101" charset="-122"/>
                </a:rPr>
                <a:t>【说明】</a:t>
              </a:r>
              <a:endParaRPr lang="zh-CN" altLang="en-US" sz="8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</a:endParaRPr>
            </a:p>
            <a:p>
              <a:pPr marL="39370" algn="l" fontAlgn="auto">
                <a:lnSpc>
                  <a:spcPct val="120000"/>
                </a:lnSpc>
              </a:pPr>
              <a:r>
                <a:rPr sz="900">
                  <a:solidFill>
                    <a:srgbClr val="222222">
                      <a:alpha val="60000"/>
                    </a:srgbClr>
                  </a:solidFill>
                  <a:latin typeface="思源黑体 CN Medium" pitchFamily="34" charset="-122"/>
                  <a:ea typeface="思源黑体 CN Medium" pitchFamily="34" charset="-122"/>
                  <a:cs typeface="黑体" panose="02010609060101010101" charset="-122"/>
                  <a:sym typeface="+mn-ea"/>
                </a:rPr>
                <a:t>模板中使用的字体仅限于个人学习、研究或欣赏目的使用，如需商用请您自行向版权方购买、获取商用版权。</a:t>
              </a:r>
              <a:endParaRPr sz="9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+mn-ea"/>
              </a:endParaRPr>
            </a:p>
            <a:p>
              <a:pPr marL="39370" algn="l" fontAlgn="auto">
                <a:lnSpc>
                  <a:spcPct val="120000"/>
                </a:lnSpc>
              </a:pPr>
              <a:r>
                <a:rPr lang="zh-CN" altLang="en-US" sz="900">
                  <a:solidFill>
                    <a:srgbClr val="222222">
                      <a:alpha val="60000"/>
                    </a:srgbClr>
                  </a:solidFill>
                  <a:latin typeface="思源黑体 CN Medium" pitchFamily="34" charset="-122"/>
                  <a:ea typeface="思源黑体 CN Medium" pitchFamily="34" charset="-122"/>
                  <a:cs typeface="黑体" panose="02010609060101010101" charset="-122"/>
                  <a:sym typeface="+mn-ea"/>
                </a:rPr>
                <a:t>模板中使用的字体为开源字体，请用户按照该款开源字体的开源协议要求来使用该字体。</a:t>
              </a:r>
              <a:endParaRPr lang="zh-CN" altLang="en-US" sz="9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+mn-ea"/>
              </a:endParaRPr>
            </a:p>
          </xdr:txBody>
        </xdr:sp>
        <xdr:grpSp>
          <xdr:nvGrpSpPr>
            <xdr:cNvPr id="21" name="组合 20"/>
            <xdr:cNvGrpSpPr/>
          </xdr:nvGrpSpPr>
          <xdr:grpSpPr>
            <a:xfrm>
              <a:off x="10412" y="3270"/>
              <a:ext cx="4614" cy="4227"/>
              <a:chOff x="8438" y="3702"/>
              <a:chExt cx="4612" cy="4076"/>
            </a:xfrm>
          </xdr:grpSpPr>
          <xdr:grpSp>
            <xdr:nvGrpSpPr>
              <xdr:cNvPr id="22" name="组合 32"/>
              <xdr:cNvGrpSpPr/>
            </xdr:nvGrpSpPr>
            <xdr:grpSpPr>
              <a:xfrm>
                <a:off x="8722" y="6083"/>
                <a:ext cx="4328" cy="1339"/>
                <a:chOff x="11008" y="5362"/>
                <a:chExt cx="4828" cy="1355"/>
              </a:xfrm>
            </xdr:grpSpPr>
            <xdr:cxnSp>
              <xdr:nvCxnSpPr>
                <xdr:cNvPr id="31" name="直接连接符 30"/>
                <xdr:cNvCxnSpPr/>
              </xdr:nvCxnSpPr>
              <xdr:spPr>
                <a:xfrm>
                  <a:off x="11017" y="6717"/>
                  <a:ext cx="4819" cy="0"/>
                </a:xfrm>
                <a:prstGeom prst="line">
                  <a:avLst/>
                </a:prstGeom>
                <a:ln w="9525">
                  <a:solidFill>
                    <a:srgbClr val="222222">
                      <a:alpha val="8000"/>
                    </a:srgb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>
              <xdr:nvCxnSpPr>
                <xdr:cNvPr id="32" name="直接连接符 31"/>
                <xdr:cNvCxnSpPr/>
              </xdr:nvCxnSpPr>
              <xdr:spPr>
                <a:xfrm>
                  <a:off x="11008" y="5362"/>
                  <a:ext cx="4819" cy="0"/>
                </a:xfrm>
                <a:prstGeom prst="line">
                  <a:avLst/>
                </a:prstGeom>
                <a:ln w="9525">
                  <a:solidFill>
                    <a:srgbClr val="222222">
                      <a:alpha val="8000"/>
                    </a:srgb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</xdr:grpSp>
          <xdr:grpSp>
            <xdr:nvGrpSpPr>
              <xdr:cNvPr id="23" name="组合 34"/>
              <xdr:cNvGrpSpPr/>
            </xdr:nvGrpSpPr>
            <xdr:grpSpPr>
              <a:xfrm>
                <a:off x="8438" y="3702"/>
                <a:ext cx="3264" cy="4076"/>
                <a:chOff x="10730" y="2878"/>
                <a:chExt cx="3249" cy="4127"/>
              </a:xfrm>
            </xdr:grpSpPr>
            <xdr:sp>
              <xdr:nvSpPr>
                <xdr:cNvPr id="24" name="文本框 23"/>
                <xdr:cNvSpPr txBox="1"/>
              </xdr:nvSpPr>
              <xdr:spPr>
                <a:xfrm>
                  <a:off x="10887" y="5634"/>
                  <a:ext cx="2286" cy="511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/>
                <a:p>
                  <a:pPr marL="0" algn="l" eaLnBrk="1"/>
                  <a:r>
                    <a:rPr lang="zh-CN" altLang="en-US" sz="900" kern="1200">
                      <a:solidFill>
                        <a:srgbClr val="222222">
                          <a:alpha val="60000"/>
                        </a:srgbClr>
                      </a:solidFill>
                      <a:latin typeface="思源黑体 CN Medium" pitchFamily="34" charset="-122"/>
                      <a:ea typeface="思源黑体 CN Medium" pitchFamily="34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英文</a:t>
                  </a:r>
                  <a:r>
                    <a: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思源黑体 CN Medium" pitchFamily="34" charset="-122"/>
                      <a:ea typeface="思源黑体 CN Medium" pitchFamily="34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｜字体名称</a:t>
                  </a:r>
                  <a:endParaRPr lang="en-US" altLang="zh-CN" sz="900" kern="1200">
                    <a:solidFill>
                      <a:srgbClr val="222222">
                        <a:alpha val="60000"/>
                      </a:srgbClr>
                    </a:solidFill>
                    <a:latin typeface="思源黑体 CN Medium" pitchFamily="34" charset="-122"/>
                    <a:ea typeface="思源黑体 CN Medium" pitchFamily="34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  <xdr:sp>
              <xdr:nvSpPr>
                <xdr:cNvPr id="25" name="文本框 24"/>
                <xdr:cNvSpPr txBox="1"/>
              </xdr:nvSpPr>
              <xdr:spPr>
                <a:xfrm>
                  <a:off x="10857" y="6058"/>
                  <a:ext cx="3098" cy="94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/>
                <a:p>
                  <a:pPr marL="0" algn="l" eaLnBrk="1"/>
                  <a:r>
                    <a:rPr lang="zh-CN" altLang="en-US" sz="2000" kern="1200">
                      <a:solidFill>
                        <a:srgbClr val="222222"/>
                      </a:solidFill>
                      <a:latin typeface="思源黑体 CN Medium" pitchFamily="34" charset="-122"/>
                      <a:ea typeface="思源黑体 CN Medium" pitchFamily="34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思源黑体</a:t>
                  </a:r>
                  <a:endParaRPr lang="en-US" altLang="zh-CN" sz="2000" kern="1200">
                    <a:solidFill>
                      <a:srgbClr val="222222"/>
                    </a:solidFill>
                    <a:latin typeface="思源黑体 CN Medium" pitchFamily="34" charset="-122"/>
                    <a:ea typeface="思源黑体 CN Medium" pitchFamily="34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  <xdr:sp>
              <xdr:nvSpPr>
                <xdr:cNvPr id="26" name="文本框 25"/>
                <xdr:cNvSpPr txBox="1"/>
              </xdr:nvSpPr>
              <xdr:spPr>
                <a:xfrm>
                  <a:off x="10892" y="4279"/>
                  <a:ext cx="1702" cy="463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noAutofit/>
                </a:bodyPr>
                <a:lstStyle/>
                <a:p>
                  <a:pPr marL="0" algn="l" eaLnBrk="1"/>
                  <a:r>
                    <a:rPr lang="en-US" altLang="zh-CN" sz="900" kern="1200">
                      <a:solidFill>
                        <a:srgbClr val="222222">
                          <a:alpha val="60000"/>
                        </a:srgbClr>
                      </a:solidFill>
                      <a:latin typeface="思源黑体 CN Medium" pitchFamily="34" charset="-122"/>
                      <a:ea typeface="思源黑体 CN Medium" pitchFamily="34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中文｜字体名称</a:t>
                  </a:r>
                  <a:endParaRPr lang="en-US" altLang="zh-CN" sz="900" kern="1200">
                    <a:solidFill>
                      <a:srgbClr val="222222">
                        <a:alpha val="60000"/>
                      </a:srgbClr>
                    </a:solidFill>
                    <a:latin typeface="思源黑体 CN Medium" pitchFamily="34" charset="-122"/>
                    <a:ea typeface="思源黑体 CN Medium" pitchFamily="34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  <xdr:sp>
              <xdr:nvSpPr>
                <xdr:cNvPr id="27" name="文本框 26"/>
                <xdr:cNvSpPr txBox="1"/>
              </xdr:nvSpPr>
              <xdr:spPr>
                <a:xfrm>
                  <a:off x="10848" y="4703"/>
                  <a:ext cx="3052" cy="947"/>
                </a:xfrm>
                <a:prstGeom prst="rect">
                  <a:avLst/>
                </a:prstGeom>
                <a:noFill/>
              </xdr:spPr>
              <xdr:txBody>
                <a:bodyPr wrap="square" rtlCol="0">
                  <a:spAutoFit/>
                </a:bodyPr>
                <a:lstStyle/>
                <a:p>
                  <a:pPr marL="0" algn="l" eaLnBrk="1"/>
                  <a:r>
                    <a:rPr lang="zh-CN" altLang="en-US" sz="2000" kern="1200">
                      <a:solidFill>
                        <a:srgbClr val="222222"/>
                      </a:solidFill>
                      <a:latin typeface="思源黑体 CN Medium" pitchFamily="34" charset="-122"/>
                      <a:ea typeface="思源黑体 CN Medium" pitchFamily="34" charset="-122"/>
                      <a:cs typeface="Times New Roman" panose="02020603050405020304" pitchFamily="12"/>
                      <a:sym typeface="Times New Roman" panose="02020603050405020304" pitchFamily="12"/>
                    </a:rPr>
                    <a:t>思源黑体</a:t>
                  </a:r>
                  <a:endParaRPr lang="en-US" altLang="zh-CN" sz="2000" kern="1200">
                    <a:solidFill>
                      <a:srgbClr val="222222"/>
                    </a:solidFill>
                    <a:latin typeface="思源黑体 CN Medium" pitchFamily="34" charset="-122"/>
                    <a:ea typeface="思源黑体 CN Medium" pitchFamily="34" charset="-122"/>
                    <a:cs typeface="Times New Roman" panose="02020603050405020304" pitchFamily="12"/>
                    <a:sym typeface="Times New Roman" panose="02020603050405020304" pitchFamily="12"/>
                  </a:endParaRPr>
                </a:p>
              </xdr:txBody>
            </xdr:sp>
            <xdr:grpSp>
              <xdr:nvGrpSpPr>
                <xdr:cNvPr id="28" name="组合 27"/>
                <xdr:cNvGrpSpPr/>
              </xdr:nvGrpSpPr>
              <xdr:grpSpPr>
                <a:xfrm>
                  <a:off x="10730" y="2878"/>
                  <a:ext cx="3249" cy="1660"/>
                  <a:chOff x="1046" y="2210"/>
                  <a:chExt cx="3249" cy="1660"/>
                </a:xfrm>
              </xdr:grpSpPr>
              <xdr:sp>
                <xdr:nvSpPr>
                  <xdr:cNvPr id="29" name="文本框 28"/>
                  <xdr:cNvSpPr txBox="1"/>
                </xdr:nvSpPr>
                <xdr:spPr>
                  <a:xfrm>
                    <a:off x="1046" y="2210"/>
                    <a:ext cx="1505" cy="1660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/>
                  <a:p>
                    <a:pPr marL="0" algn="l" eaLnBrk="1"/>
                    <a:r>
                      <a:rPr lang="en-US" altLang="zh-CN" sz="3800" b="1" kern="1200">
                        <a:solidFill>
                          <a:srgbClr val="FF2832"/>
                        </a:solidFill>
                        <a:latin typeface="思源黑体 CN Medium" pitchFamily="34" charset="-122"/>
                        <a:ea typeface="思源黑体 CN Medium" pitchFamily="34" charset="-122"/>
                        <a:cs typeface="Times New Roman" panose="02020603050405020304" pitchFamily="12"/>
                        <a:sym typeface="Times New Roman" panose="02020603050405020304" pitchFamily="12"/>
                      </a:rPr>
                      <a:t>02</a:t>
                    </a:r>
                    <a:endParaRPr lang="en-US" altLang="zh-CN" sz="3800" b="1" kern="1200">
                      <a:solidFill>
                        <a:srgbClr val="FF2832"/>
                      </a:solidFill>
                      <a:latin typeface="思源黑体 CN Medium" pitchFamily="34" charset="-122"/>
                      <a:ea typeface="思源黑体 CN Medium" pitchFamily="34" charset="-122"/>
                      <a:cs typeface="Times New Roman" panose="02020603050405020304" pitchFamily="12"/>
                      <a:sym typeface="Times New Roman" panose="02020603050405020304" pitchFamily="12"/>
                    </a:endParaRPr>
                  </a:p>
                </xdr:txBody>
              </xdr:sp>
              <xdr:sp>
                <xdr:nvSpPr>
                  <xdr:cNvPr id="30" name="文本框 29"/>
                  <xdr:cNvSpPr txBox="1"/>
                </xdr:nvSpPr>
                <xdr:spPr>
                  <a:xfrm>
                    <a:off x="2013" y="2404"/>
                    <a:ext cx="2282" cy="1026"/>
                  </a:xfrm>
                  <a:prstGeom prst="rect">
                    <a:avLst/>
                  </a:prstGeom>
                  <a:noFill/>
                </xdr:spPr>
                <xdr:txBody>
                  <a:bodyPr wrap="square" rtlCol="0">
                    <a:spAutoFit/>
                  </a:bodyPr>
                  <a:lstStyle/>
                  <a:p>
                    <a:pPr marL="0" algn="l" eaLnBrk="1"/>
                    <a:r>
                      <a:rPr lang="en-US" altLang="zh-CN" sz="2200" b="1" kern="1200">
                        <a:solidFill>
                          <a:srgbClr val="222222"/>
                        </a:solidFill>
                        <a:latin typeface="思源黑体 CN Medium" pitchFamily="34" charset="-122"/>
                        <a:ea typeface="思源黑体 CN Medium" pitchFamily="34" charset="-122"/>
                        <a:cs typeface="Times New Roman" panose="02020603050405020304" pitchFamily="12"/>
                        <a:sym typeface="Times New Roman" panose="02020603050405020304" pitchFamily="12"/>
                      </a:rPr>
                      <a:t>字体说明</a:t>
                    </a:r>
                    <a:endParaRPr lang="en-US" altLang="zh-CN" sz="2200" b="1" kern="1200">
                      <a:solidFill>
                        <a:srgbClr val="222222"/>
                      </a:solidFill>
                      <a:latin typeface="思源黑体 CN Medium" pitchFamily="34" charset="-122"/>
                      <a:ea typeface="思源黑体 CN Medium" pitchFamily="34" charset="-122"/>
                      <a:cs typeface="Times New Roman" panose="02020603050405020304" pitchFamily="12"/>
                      <a:sym typeface="Times New Roman" panose="02020603050405020304" pitchFamily="12"/>
                    </a:endParaRPr>
                  </a:p>
                </xdr:txBody>
              </xdr:sp>
            </xdr:grpSp>
          </xdr:grpSp>
        </xdr:grpSp>
      </xdr:grpSp>
      <xdr:grpSp>
        <xdr:nvGrpSpPr>
          <xdr:cNvPr id="10" name="组合 9"/>
          <xdr:cNvGrpSpPr/>
        </xdr:nvGrpSpPr>
        <xdr:grpSpPr>
          <a:xfrm>
            <a:off x="10398" y="12593"/>
            <a:ext cx="5662" cy="4817"/>
            <a:chOff x="10399" y="12594"/>
            <a:chExt cx="5661" cy="4817"/>
          </a:xfrm>
        </xdr:grpSpPr>
        <xdr:grpSp>
          <xdr:nvGrpSpPr>
            <xdr:cNvPr id="11" name="组合 61"/>
            <xdr:cNvGrpSpPr/>
          </xdr:nvGrpSpPr>
          <xdr:grpSpPr>
            <a:xfrm>
              <a:off x="10418" y="12594"/>
              <a:ext cx="3854" cy="1699"/>
              <a:chOff x="1213" y="2209"/>
              <a:chExt cx="3140" cy="1326"/>
            </a:xfrm>
          </xdr:grpSpPr>
          <xdr:sp>
            <xdr:nvSpPr>
              <xdr:cNvPr id="18" name="文本框 33"/>
              <xdr:cNvSpPr txBox="1"/>
            </xdr:nvSpPr>
            <xdr:spPr>
              <a:xfrm>
                <a:off x="1213" y="2209"/>
                <a:ext cx="1554" cy="132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思源黑体 CN Medium" pitchFamily="34" charset="-122"/>
                    <a:ea typeface="思源黑体 CN Medium" pitchFamily="34" charset="-122"/>
                    <a:cs typeface="Times New Roman" panose="02020603050405020304" pitchFamily="12"/>
                    <a:sym typeface="Times New Roman" panose="02020603050405020304" pitchFamily="12"/>
                  </a:rPr>
                  <a:t>03</a:t>
                </a:r>
                <a:endParaRPr lang="en-US" altLang="zh-CN" sz="3800" b="1" kern="1200">
                  <a:solidFill>
                    <a:srgbClr val="FF2832"/>
                  </a:solidFill>
                  <a:latin typeface="思源黑体 CN Medium" pitchFamily="34" charset="-122"/>
                  <a:ea typeface="思源黑体 CN Medium" pitchFamily="34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19" name="文本框 34"/>
              <xdr:cNvSpPr txBox="1"/>
            </xdr:nvSpPr>
            <xdr:spPr>
              <a:xfrm>
                <a:off x="2067" y="2404"/>
                <a:ext cx="2286" cy="820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思源黑体 CN Medium" pitchFamily="34" charset="-122"/>
                    <a:ea typeface="思源黑体 CN Medium" pitchFamily="34" charset="-122"/>
                    <a:cs typeface="Times New Roman" panose="02020603050405020304" pitchFamily="12"/>
                    <a:sym typeface="Times New Roman" panose="02020603050405020304" pitchFamily="12"/>
                  </a:rPr>
                  <a:t>素材说明</a:t>
                </a:r>
                <a:endParaRPr lang="en-US" altLang="zh-CN" sz="2200" b="1" kern="1200">
                  <a:solidFill>
                    <a:srgbClr val="222222"/>
                  </a:solidFill>
                  <a:latin typeface="思源黑体 CN Medium" pitchFamily="34" charset="-122"/>
                  <a:ea typeface="思源黑体 CN Medium" pitchFamily="34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</xdr:grpSp>
        <xdr:grpSp>
          <xdr:nvGrpSpPr>
            <xdr:cNvPr id="12" name="组合 69"/>
            <xdr:cNvGrpSpPr/>
          </xdr:nvGrpSpPr>
          <xdr:grpSpPr>
            <a:xfrm>
              <a:off x="10410" y="13980"/>
              <a:ext cx="5650" cy="1531"/>
              <a:chOff x="7157" y="3567"/>
              <a:chExt cx="4605" cy="1196"/>
            </a:xfrm>
          </xdr:grpSpPr>
          <xdr:sp>
            <xdr:nvSpPr>
              <xdr:cNvPr id="16" name="文本框 36"/>
              <xdr:cNvSpPr txBox="1"/>
            </xdr:nvSpPr>
            <xdr:spPr>
              <a:xfrm>
                <a:off x="7157" y="3567"/>
                <a:ext cx="1289" cy="47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b="1" kern="1200">
                    <a:solidFill>
                      <a:srgbClr val="222222"/>
                    </a:solidFill>
                    <a:latin typeface="思源黑体 CN Medium" pitchFamily="34" charset="-122"/>
                    <a:ea typeface="思源黑体 CN Medium" pitchFamily="34" charset="-122"/>
                    <a:cs typeface="Times New Roman" panose="02020603050405020304" pitchFamily="12"/>
                    <a:sym typeface="Times New Roman" panose="02020603050405020304" pitchFamily="12"/>
                  </a:rPr>
                  <a:t>图片：</a:t>
                </a:r>
                <a:endParaRPr lang="en-US" altLang="zh-CN" b="1" kern="1200">
                  <a:solidFill>
                    <a:srgbClr val="222222"/>
                  </a:solidFill>
                  <a:latin typeface="思源黑体 CN Medium" pitchFamily="34" charset="-122"/>
                  <a:ea typeface="思源黑体 CN Medium" pitchFamily="34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17" name="文本框 37"/>
              <xdr:cNvSpPr txBox="1"/>
            </xdr:nvSpPr>
            <xdr:spPr>
              <a:xfrm>
                <a:off x="7159" y="4050"/>
                <a:ext cx="4603" cy="713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fontAlgn="t">
                  <a:lnSpc>
                    <a:spcPct val="120000"/>
                  </a:lnSpc>
                </a:pPr>
                <a:r>
                  <a:rPr lang="zh-CN" altLang="en-US" sz="800">
                    <a:solidFill>
                      <a:srgbClr val="222222">
                        <a:alpha val="60000"/>
                      </a:srgbClr>
                    </a:solidFill>
                    <a:latin typeface="思源黑体 CN Medium" pitchFamily="34" charset="-122"/>
                    <a:ea typeface="思源黑体 CN Medium" pitchFamily="34" charset="-122"/>
                  </a:rPr>
                  <a:t>无图片</a:t>
                </a:r>
                <a:endParaRPr lang="zh-CN" altLang="en-US" sz="800">
                  <a:solidFill>
                    <a:srgbClr val="222222">
                      <a:alpha val="60000"/>
                    </a:srgbClr>
                  </a:solidFill>
                  <a:latin typeface="思源黑体 CN Medium" pitchFamily="34" charset="-122"/>
                  <a:ea typeface="思源黑体 CN Medium" pitchFamily="34" charset="-122"/>
                </a:endParaRPr>
              </a:p>
              <a:p>
                <a:pPr marL="0" algn="l" eaLnBrk="1" fontAlgn="t">
                  <a:lnSpc>
                    <a:spcPct val="100000"/>
                  </a:lnSpc>
                </a:pPr>
                <a:endPara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思源黑体 CN Medium" pitchFamily="34" charset="-122"/>
                  <a:ea typeface="思源黑体 CN Medium" pitchFamily="34" charset="-122"/>
                  <a:cs typeface="黑体" panose="02010609060101010101" charset="-122"/>
                  <a:sym typeface="+mn-ea"/>
                </a:endParaRPr>
              </a:p>
            </xdr:txBody>
          </xdr:sp>
        </xdr:grpSp>
        <xdr:grpSp>
          <xdr:nvGrpSpPr>
            <xdr:cNvPr id="13" name="组合 77"/>
            <xdr:cNvGrpSpPr/>
          </xdr:nvGrpSpPr>
          <xdr:grpSpPr>
            <a:xfrm>
              <a:off x="10399" y="16284"/>
              <a:ext cx="5651" cy="1127"/>
              <a:chOff x="7148" y="5905"/>
              <a:chExt cx="4606" cy="885"/>
            </a:xfrm>
          </xdr:grpSpPr>
          <xdr:sp>
            <xdr:nvSpPr>
              <xdr:cNvPr id="14" name="文本框 39"/>
              <xdr:cNvSpPr txBox="1"/>
            </xdr:nvSpPr>
            <xdr:spPr>
              <a:xfrm>
                <a:off x="7171" y="5905"/>
                <a:ext cx="1287" cy="475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b="1" kern="1200">
                    <a:solidFill>
                      <a:srgbClr val="222222"/>
                    </a:solidFill>
                    <a:latin typeface="思源黑体 CN Medium" pitchFamily="34" charset="-122"/>
                    <a:ea typeface="思源黑体 CN Medium" pitchFamily="34" charset="-122"/>
                    <a:cs typeface="Times New Roman" panose="02020603050405020304" pitchFamily="12"/>
                    <a:sym typeface="Times New Roman" panose="02020603050405020304" pitchFamily="12"/>
                  </a:rPr>
                  <a:t>素材：</a:t>
                </a:r>
                <a:endParaRPr lang="en-US" altLang="zh-CN" b="1" kern="1200">
                  <a:solidFill>
                    <a:srgbClr val="222222"/>
                  </a:solidFill>
                  <a:latin typeface="思源黑体 CN Medium" pitchFamily="34" charset="-122"/>
                  <a:ea typeface="思源黑体 CN Medium" pitchFamily="34" charset="-122"/>
                  <a:cs typeface="Times New Roman" panose="02020603050405020304" pitchFamily="12"/>
                  <a:sym typeface="Times New Roman" panose="02020603050405020304" pitchFamily="12"/>
                </a:endParaRPr>
              </a:p>
            </xdr:txBody>
          </xdr:sp>
          <xdr:sp>
            <xdr:nvSpPr>
              <xdr:cNvPr id="15" name="文本框 40"/>
              <xdr:cNvSpPr txBox="1"/>
            </xdr:nvSpPr>
            <xdr:spPr>
              <a:xfrm>
                <a:off x="7148" y="6322"/>
                <a:ext cx="4606" cy="468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fontAlgn="t">
                  <a:lnSpc>
                    <a:spcPct val="120000"/>
                  </a:lnSpc>
                </a:pPr>
                <a:r>
                  <a:rPr lang="zh-CN" altLang="en-US" sz="900" kern="1200">
                    <a:solidFill>
                      <a:srgbClr val="222222">
                        <a:alpha val="60000"/>
                      </a:srgbClr>
                    </a:solidFill>
                    <a:latin typeface="思源黑体 CN Medium" pitchFamily="34" charset="-122"/>
                    <a:ea typeface="思源黑体 CN Medium" pitchFamily="34" charset="-122"/>
                    <a:cs typeface="黑体" panose="02010609060101010101" charset="-122"/>
                    <a:sym typeface="+mn-ea"/>
                  </a:rPr>
                  <a:t>无素材</a:t>
                </a:r>
                <a:endPara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思源黑体 CN Medium" pitchFamily="34" charset="-122"/>
                  <a:ea typeface="思源黑体 CN Medium" pitchFamily="34" charset="-122"/>
                  <a:cs typeface="黑体" panose="02010609060101010101" charset="-122"/>
                  <a:sym typeface="+mn-ea"/>
                </a:endParaRPr>
              </a:p>
            </xdr:txBody>
          </xdr:sp>
        </xdr:grpSp>
      </xdr:grpSp>
    </xdr:grpSp>
    <xdr:clientData/>
  </xdr:twoCellAnchor>
  <xdr:twoCellAnchor>
    <xdr:from>
      <xdr:col>2</xdr:col>
      <xdr:colOff>212745</xdr:colOff>
      <xdr:row>11</xdr:row>
      <xdr:rowOff>17598</xdr:rowOff>
    </xdr:from>
    <xdr:to>
      <xdr:col>7</xdr:col>
      <xdr:colOff>245305</xdr:colOff>
      <xdr:row>16</xdr:row>
      <xdr:rowOff>153612</xdr:rowOff>
    </xdr:to>
    <xdr:grpSp>
      <xdr:nvGrpSpPr>
        <xdr:cNvPr id="33" name="组合 32"/>
        <xdr:cNvGrpSpPr/>
      </xdr:nvGrpSpPr>
      <xdr:grpSpPr>
        <a:xfrm>
          <a:off x="1486535" y="1903095"/>
          <a:ext cx="3216910" cy="993140"/>
          <a:chOff x="1212" y="2208"/>
          <a:chExt cx="4839" cy="1653"/>
        </a:xfrm>
      </xdr:grpSpPr>
      <xdr:sp>
        <xdr:nvSpPr>
          <xdr:cNvPr id="34" name="文本框 12"/>
          <xdr:cNvSpPr txBox="1"/>
        </xdr:nvSpPr>
        <xdr:spPr>
          <a:xfrm>
            <a:off x="1212" y="2208"/>
            <a:ext cx="1555" cy="165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思源黑体 CN Medium" pitchFamily="34" charset="-122"/>
                <a:ea typeface="思源黑体 CN Medium" pitchFamily="34" charset="-122"/>
                <a:cs typeface="Times New Roman" panose="02020603050405020304" pitchFamily="1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思源黑体 CN Medium" pitchFamily="34" charset="-122"/>
              <a:ea typeface="思源黑体 CN Medium" pitchFamily="3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  <xdr:sp>
        <xdr:nvSpPr>
          <xdr:cNvPr id="35" name="文本框 13"/>
          <xdr:cNvSpPr txBox="1"/>
        </xdr:nvSpPr>
        <xdr:spPr>
          <a:xfrm>
            <a:off x="2218" y="2404"/>
            <a:ext cx="3833" cy="102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Times New Roman" panose="02020603050405020304" pitchFamily="1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Times New Roman" panose="02020603050405020304" pitchFamily="1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思源黑体 CN Medium" pitchFamily="34" charset="-122"/>
              <a:ea typeface="思源黑体 CN Medium" pitchFamily="34" charset="-122"/>
              <a:cs typeface="Times New Roman" panose="02020603050405020304" pitchFamily="1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324475</xdr:colOff>
      <xdr:row>28</xdr:row>
      <xdr:rowOff>53887</xdr:rowOff>
    </xdr:from>
    <xdr:to>
      <xdr:col>7</xdr:col>
      <xdr:colOff>347381</xdr:colOff>
      <xdr:row>35</xdr:row>
      <xdr:rowOff>26449</xdr:rowOff>
    </xdr:to>
    <xdr:pic>
      <xdr:nvPicPr>
        <xdr:cNvPr id="36" name="图片 3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97660" y="4853940"/>
          <a:ext cx="3208020" cy="1172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290045</xdr:colOff>
      <xdr:row>15</xdr:row>
      <xdr:rowOff>160595</xdr:rowOff>
    </xdr:from>
    <xdr:to>
      <xdr:col>7</xdr:col>
      <xdr:colOff>189989</xdr:colOff>
      <xdr:row>20</xdr:row>
      <xdr:rowOff>47261</xdr:rowOff>
    </xdr:to>
    <xdr:grpSp>
      <xdr:nvGrpSpPr>
        <xdr:cNvPr id="37" name="组合 69"/>
        <xdr:cNvGrpSpPr/>
      </xdr:nvGrpSpPr>
      <xdr:grpSpPr>
        <a:xfrm>
          <a:off x="1563370" y="2731770"/>
          <a:ext cx="3084830" cy="744220"/>
          <a:chOff x="7139" y="3570"/>
          <a:chExt cx="4652" cy="1250"/>
        </a:xfrm>
      </xdr:grpSpPr>
      <xdr:sp>
        <xdr:nvSpPr>
          <xdr:cNvPr id="38" name="文本框 46"/>
          <xdr:cNvSpPr txBox="1"/>
        </xdr:nvSpPr>
        <xdr:spPr>
          <a:xfrm>
            <a:off x="7139" y="3570"/>
            <a:ext cx="3308" cy="58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思源黑体 CN Medium" pitchFamily="34" charset="-122"/>
              <a:ea typeface="思源黑体 CN Medium" pitchFamily="34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39" name="文本框 47"/>
          <xdr:cNvSpPr txBox="1"/>
        </xdr:nvSpPr>
        <xdr:spPr>
          <a:xfrm>
            <a:off x="7197" y="3961"/>
            <a:ext cx="4594" cy="85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思源黑体 CN Medium" pitchFamily="34" charset="-122"/>
              <a:ea typeface="思源黑体 CN Medium" pitchFamily="34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思源黑体 CN Medium" pitchFamily="34" charset="-122"/>
              <a:ea typeface="思源黑体 CN Medium" pitchFamily="34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277398</xdr:colOff>
      <xdr:row>25</xdr:row>
      <xdr:rowOff>57069</xdr:rowOff>
    </xdr:from>
    <xdr:to>
      <xdr:col>8</xdr:col>
      <xdr:colOff>87770</xdr:colOff>
      <xdr:row>29</xdr:row>
      <xdr:rowOff>116746</xdr:rowOff>
    </xdr:to>
    <xdr:grpSp>
      <xdr:nvGrpSpPr>
        <xdr:cNvPr id="40" name="组合 77"/>
        <xdr:cNvGrpSpPr/>
      </xdr:nvGrpSpPr>
      <xdr:grpSpPr>
        <a:xfrm>
          <a:off x="1550670" y="4342765"/>
          <a:ext cx="3632200" cy="745490"/>
          <a:chOff x="7127" y="5904"/>
          <a:chExt cx="5482" cy="1268"/>
        </a:xfrm>
      </xdr:grpSpPr>
      <xdr:sp>
        <xdr:nvSpPr>
          <xdr:cNvPr id="41" name="文本框 49"/>
          <xdr:cNvSpPr txBox="1"/>
        </xdr:nvSpPr>
        <xdr:spPr>
          <a:xfrm>
            <a:off x="7127" y="5904"/>
            <a:ext cx="2426" cy="60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思源黑体 CN Medium" pitchFamily="34" charset="-122"/>
              <a:ea typeface="思源黑体 CN Medium" pitchFamily="34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  <xdr:sp>
        <xdr:nvSpPr>
          <xdr:cNvPr id="42" name="文本框 50"/>
          <xdr:cNvSpPr txBox="1"/>
        </xdr:nvSpPr>
        <xdr:spPr>
          <a:xfrm>
            <a:off x="7197" y="6292"/>
            <a:ext cx="5412" cy="88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思源黑体 CN Medium" pitchFamily="34" charset="-122"/>
              <a:ea typeface="思源黑体 CN Medium" pitchFamily="34" charset="-122"/>
              <a:cs typeface="黑体" panose="02010609060101010101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思源黑体 CN Medium" pitchFamily="34" charset="-122"/>
                <a:ea typeface="思源黑体 CN Medium" pitchFamily="34" charset="-122"/>
                <a:cs typeface="黑体" panose="02010609060101010101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思源黑体 CN Medium" pitchFamily="34" charset="-122"/>
              <a:ea typeface="思源黑体 CN Medium" pitchFamily="34" charset="-122"/>
              <a:cs typeface="黑体" panose="02010609060101010101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413007</xdr:colOff>
      <xdr:row>19</xdr:row>
      <xdr:rowOff>130825</xdr:rowOff>
    </xdr:from>
    <xdr:to>
      <xdr:col>9</xdr:col>
      <xdr:colOff>155589</xdr:colOff>
      <xdr:row>23</xdr:row>
      <xdr:rowOff>107181</xdr:rowOff>
    </xdr:to>
    <xdr:pic>
      <xdr:nvPicPr>
        <xdr:cNvPr id="43" name="图片 42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86560" y="3388360"/>
          <a:ext cx="4201160" cy="661670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2</xdr:col>
      <xdr:colOff>414100</xdr:colOff>
      <xdr:row>35</xdr:row>
      <xdr:rowOff>20674</xdr:rowOff>
    </xdr:from>
    <xdr:to>
      <xdr:col>9</xdr:col>
      <xdr:colOff>174248</xdr:colOff>
      <xdr:row>54</xdr:row>
      <xdr:rowOff>95249</xdr:rowOff>
    </xdr:to>
    <xdr:sp>
      <xdr:nvSpPr>
        <xdr:cNvPr id="44" name="矩形 43"/>
        <xdr:cNvSpPr/>
      </xdr:nvSpPr>
      <xdr:spPr>
        <a:xfrm>
          <a:off x="1687830" y="6021070"/>
          <a:ext cx="4218305" cy="3331845"/>
        </a:xfrm>
        <a:prstGeom prst="rect">
          <a:avLst/>
        </a:prstGeom>
        <a:noFill/>
        <a:ln w="28575" cmpd="sng">
          <a:solidFill>
            <a:srgbClr val="FF2832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说明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:</a:t>
          </a:r>
          <a:endParaRPr lang="en-US" altLang="zh-CN" sz="1100">
            <a:solidFill>
              <a:schemeClr val="tx1">
                <a:lumMod val="95000"/>
                <a:lumOff val="5000"/>
              </a:schemeClr>
            </a:solidFill>
            <a:latin typeface="思源黑体 CN Medium" pitchFamily="34" charset="-122"/>
            <a:ea typeface="思源黑体 CN Medium" pitchFamily="34" charset="-122"/>
          </a:endParaRPr>
        </a:p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此为带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BOM</a:t>
          </a:r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的出入库管理系统，主要作用在于根据设定好的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BOM</a:t>
          </a:r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清单，出库成品的时候，会根据比例自动扣减原材料库存数据。</a:t>
          </a:r>
          <a:endParaRPr lang="en-US" altLang="zh-CN" sz="1100">
            <a:solidFill>
              <a:schemeClr val="tx1">
                <a:lumMod val="95000"/>
                <a:lumOff val="5000"/>
              </a:schemeClr>
            </a:solidFill>
            <a:latin typeface="思源黑体 CN Medium" pitchFamily="34" charset="-122"/>
            <a:ea typeface="思源黑体 CN Medium" pitchFamily="34" charset="-122"/>
          </a:endParaRPr>
        </a:p>
        <a:p>
          <a:pPr algn="l"/>
          <a:endParaRPr lang="en-US" altLang="zh-CN" sz="1100">
            <a:solidFill>
              <a:schemeClr val="tx1">
                <a:lumMod val="95000"/>
                <a:lumOff val="5000"/>
              </a:schemeClr>
            </a:solidFill>
            <a:latin typeface="思源黑体 CN Medium" pitchFamily="34" charset="-122"/>
            <a:ea typeface="思源黑体 CN Medium" pitchFamily="34" charset="-122"/>
          </a:endParaRPr>
        </a:p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步骤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1</a:t>
          </a:r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：维护好基础信息表；超过最低库存和最高库存将在库存表中预警。</a:t>
          </a:r>
          <a:endParaRPr lang="en-US" altLang="zh-CN" sz="1100">
            <a:solidFill>
              <a:schemeClr val="tx1">
                <a:lumMod val="95000"/>
                <a:lumOff val="5000"/>
              </a:schemeClr>
            </a:solidFill>
            <a:latin typeface="思源黑体 CN Medium" pitchFamily="34" charset="-122"/>
            <a:ea typeface="思源黑体 CN Medium" pitchFamily="34" charset="-122"/>
          </a:endParaRPr>
        </a:p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步骤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2</a:t>
          </a:r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：维护好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BOM</a:t>
          </a:r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清单，即成品和原材料的对应关系；灰色部分有公式请勿动；</a:t>
          </a:r>
          <a:endParaRPr lang="en-US" altLang="zh-CN" sz="1100">
            <a:solidFill>
              <a:schemeClr val="tx1">
                <a:lumMod val="95000"/>
                <a:lumOff val="5000"/>
              </a:schemeClr>
            </a:solidFill>
            <a:latin typeface="思源黑体 CN Medium" pitchFamily="34" charset="-122"/>
            <a:ea typeface="思源黑体 CN Medium" pitchFamily="34" charset="-122"/>
          </a:endParaRPr>
        </a:p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步骤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3</a:t>
          </a:r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：根据实际清空录入原材料入库表和成品出库表；</a:t>
          </a:r>
          <a:endParaRPr lang="en-US" altLang="zh-CN" sz="1100">
            <a:solidFill>
              <a:schemeClr val="tx1">
                <a:lumMod val="95000"/>
                <a:lumOff val="5000"/>
              </a:schemeClr>
            </a:solidFill>
            <a:latin typeface="思源黑体 CN Medium" pitchFamily="34" charset="-122"/>
            <a:ea typeface="思源黑体 CN Medium" pitchFamily="34" charset="-122"/>
          </a:endParaRPr>
        </a:p>
        <a:p>
          <a:pPr algn="l"/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步骤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4</a:t>
          </a:r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：原材料库存表自动生成，其商品信息来自于基础信息表，入库数据来自于原材料入库表，出库数据来自于成品出库表及</a:t>
          </a:r>
          <a:r>
            <a:rPr lang="en-US" altLang="zh-CN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BOM</a:t>
          </a:r>
          <a:r>
            <a:rPr lang="zh-CN" altLang="en-US" sz="1100">
              <a:solidFill>
                <a:schemeClr val="tx1">
                  <a:lumMod val="95000"/>
                  <a:lumOff val="5000"/>
                </a:schemeClr>
              </a:solidFill>
              <a:latin typeface="思源黑体 CN Medium" pitchFamily="34" charset="-122"/>
              <a:ea typeface="思源黑体 CN Medium" pitchFamily="34" charset="-122"/>
            </a:rPr>
            <a:t>清单。</a:t>
          </a:r>
          <a:endParaRPr lang="zh-CN" altLang="en-US" sz="1100">
            <a:solidFill>
              <a:schemeClr val="tx1">
                <a:lumMod val="95000"/>
                <a:lumOff val="5000"/>
              </a:schemeClr>
            </a:solidFill>
            <a:latin typeface="思源黑体 CN Medium" pitchFamily="34" charset="-122"/>
            <a:ea typeface="思源黑体 CN Medium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P5:P20"/>
  <sheetViews>
    <sheetView showGridLines="0" workbookViewId="0">
      <selection activeCell="A1" sqref="A1"/>
    </sheetView>
  </sheetViews>
  <sheetFormatPr defaultColWidth="9" defaultRowHeight="13.5"/>
  <cols>
    <col min="2" max="2" width="9.87610619469027" customWidth="1"/>
    <col min="3" max="3" width="9.3716814159292" customWidth="1"/>
    <col min="13" max="13" width="10.1238938053097" customWidth="1"/>
    <col min="14" max="14" width="6.87610619469027" customWidth="1"/>
    <col min="15" max="15" width="9.75221238938053" customWidth="1"/>
    <col min="16" max="16" width="9.6283185840708" customWidth="1"/>
  </cols>
  <sheetData>
    <row r="5" ht="16.1" spans="16:16">
      <c r="P5" s="53"/>
    </row>
    <row r="6" ht="16.1" spans="16:16">
      <c r="P6" s="53"/>
    </row>
    <row r="7" ht="16.1" spans="16:16">
      <c r="P7" s="54"/>
    </row>
    <row r="8" ht="16.1" spans="16:16">
      <c r="P8" s="54"/>
    </row>
    <row r="9" ht="16.1" spans="16:16">
      <c r="P9" s="54"/>
    </row>
    <row r="16" ht="16.1" spans="16:16">
      <c r="P16" s="53"/>
    </row>
    <row r="17" ht="16.1" spans="16:16">
      <c r="P17" s="53"/>
    </row>
    <row r="18" ht="16.1" spans="16:16">
      <c r="P18" s="53"/>
    </row>
    <row r="19" ht="16.1" spans="16:16">
      <c r="P19" s="54"/>
    </row>
    <row r="20" ht="16.1" spans="16:16">
      <c r="P20" s="54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30"/>
  <sheetViews>
    <sheetView showGridLines="0" workbookViewId="0">
      <selection activeCell="E2" sqref="E$1:I$1048576"/>
    </sheetView>
  </sheetViews>
  <sheetFormatPr defaultColWidth="9" defaultRowHeight="13.5"/>
  <cols>
    <col min="1" max="3" width="17.2477876106195" style="45" customWidth="1"/>
    <col min="4" max="4" width="3.87610619469027" style="45" customWidth="1"/>
    <col min="5" max="6" width="17.2477876106195" style="45" customWidth="1"/>
    <col min="7" max="9" width="12.3716814159292" customWidth="1"/>
  </cols>
  <sheetData>
    <row r="1" ht="32.25" customHeight="1" spans="1:9">
      <c r="A1" s="46" t="s">
        <v>0</v>
      </c>
      <c r="B1" s="46"/>
      <c r="C1" s="46"/>
      <c r="D1" s="47"/>
      <c r="E1" s="48" t="s">
        <v>1</v>
      </c>
      <c r="F1" s="48"/>
      <c r="G1" s="48"/>
      <c r="H1" s="48"/>
      <c r="I1" s="48"/>
    </row>
    <row r="2" s="44" customFormat="1" ht="18" customHeight="1" spans="1:9">
      <c r="A2" s="49" t="s">
        <v>2</v>
      </c>
      <c r="B2" s="49" t="s">
        <v>3</v>
      </c>
      <c r="C2" s="49" t="s">
        <v>4</v>
      </c>
      <c r="D2" s="50"/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</row>
    <row r="3" s="44" customFormat="1" ht="18" customHeight="1" spans="1:9">
      <c r="A3" s="51" t="s">
        <v>10</v>
      </c>
      <c r="B3" s="51" t="s">
        <v>11</v>
      </c>
      <c r="C3" s="51"/>
      <c r="D3" s="50"/>
      <c r="E3" s="51" t="s">
        <v>12</v>
      </c>
      <c r="F3" s="51" t="s">
        <v>13</v>
      </c>
      <c r="G3" s="51"/>
      <c r="H3" s="51">
        <v>10</v>
      </c>
      <c r="I3" s="51">
        <v>100</v>
      </c>
    </row>
    <row r="4" s="44" customFormat="1" ht="18" customHeight="1" spans="1:9">
      <c r="A4" s="51" t="s">
        <v>14</v>
      </c>
      <c r="B4" s="51" t="s">
        <v>15</v>
      </c>
      <c r="C4" s="51"/>
      <c r="D4" s="50"/>
      <c r="E4" s="51" t="s">
        <v>16</v>
      </c>
      <c r="F4" s="51" t="s">
        <v>17</v>
      </c>
      <c r="G4" s="51"/>
      <c r="H4" s="51">
        <v>10</v>
      </c>
      <c r="I4" s="51">
        <v>100</v>
      </c>
    </row>
    <row r="5" s="44" customFormat="1" ht="18" customHeight="1" spans="1:9">
      <c r="A5" s="51" t="s">
        <v>18</v>
      </c>
      <c r="B5" s="51" t="s">
        <v>19</v>
      </c>
      <c r="C5" s="51"/>
      <c r="D5" s="50"/>
      <c r="E5" s="51" t="s">
        <v>20</v>
      </c>
      <c r="F5" s="51" t="s">
        <v>21</v>
      </c>
      <c r="G5" s="51"/>
      <c r="H5" s="51">
        <v>10</v>
      </c>
      <c r="I5" s="51">
        <v>100</v>
      </c>
    </row>
    <row r="6" s="44" customFormat="1" ht="18" customHeight="1" spans="1:9">
      <c r="A6" s="51" t="s">
        <v>22</v>
      </c>
      <c r="B6" s="51" t="s">
        <v>23</v>
      </c>
      <c r="C6" s="51"/>
      <c r="D6" s="50"/>
      <c r="E6" s="51" t="s">
        <v>24</v>
      </c>
      <c r="F6" s="51" t="s">
        <v>25</v>
      </c>
      <c r="G6" s="51"/>
      <c r="H6" s="51">
        <v>10</v>
      </c>
      <c r="I6" s="51">
        <v>100</v>
      </c>
    </row>
    <row r="7" s="44" customFormat="1" ht="18" customHeight="1" spans="1:9">
      <c r="A7" s="51" t="s">
        <v>26</v>
      </c>
      <c r="B7" s="51" t="s">
        <v>27</v>
      </c>
      <c r="C7" s="51"/>
      <c r="D7" s="50"/>
      <c r="E7" s="51" t="s">
        <v>28</v>
      </c>
      <c r="F7" s="51" t="s">
        <v>29</v>
      </c>
      <c r="G7" s="51"/>
      <c r="H7" s="51">
        <v>10</v>
      </c>
      <c r="I7" s="51">
        <v>100</v>
      </c>
    </row>
    <row r="8" s="44" customFormat="1" ht="18" customHeight="1" spans="1:9">
      <c r="A8" s="51" t="s">
        <v>30</v>
      </c>
      <c r="B8" s="51" t="s">
        <v>31</v>
      </c>
      <c r="C8" s="51"/>
      <c r="D8" s="50"/>
      <c r="E8" s="51" t="s">
        <v>32</v>
      </c>
      <c r="F8" s="51" t="s">
        <v>33</v>
      </c>
      <c r="G8" s="51"/>
      <c r="H8" s="51">
        <v>10</v>
      </c>
      <c r="I8" s="51">
        <v>100</v>
      </c>
    </row>
    <row r="9" s="44" customFormat="1" ht="18" customHeight="1" spans="1:9">
      <c r="A9" s="51" t="s">
        <v>34</v>
      </c>
      <c r="B9" s="51" t="s">
        <v>35</v>
      </c>
      <c r="C9" s="51"/>
      <c r="D9" s="50"/>
      <c r="E9" s="51" t="s">
        <v>36</v>
      </c>
      <c r="F9" s="51" t="s">
        <v>37</v>
      </c>
      <c r="G9" s="51"/>
      <c r="H9" s="51">
        <v>10</v>
      </c>
      <c r="I9" s="51">
        <v>100</v>
      </c>
    </row>
    <row r="10" s="44" customFormat="1" ht="18" customHeight="1" spans="1:9">
      <c r="A10" s="51" t="s">
        <v>38</v>
      </c>
      <c r="B10" s="51" t="s">
        <v>39</v>
      </c>
      <c r="C10" s="51"/>
      <c r="D10" s="50"/>
      <c r="E10" s="51" t="s">
        <v>40</v>
      </c>
      <c r="F10" s="51" t="s">
        <v>41</v>
      </c>
      <c r="G10" s="51"/>
      <c r="H10" s="51">
        <v>10</v>
      </c>
      <c r="I10" s="51">
        <v>100</v>
      </c>
    </row>
    <row r="11" s="44" customFormat="1" ht="18" customHeight="1" spans="1:9">
      <c r="A11" s="51" t="s">
        <v>42</v>
      </c>
      <c r="B11" s="51" t="s">
        <v>43</v>
      </c>
      <c r="C11" s="51"/>
      <c r="D11" s="50"/>
      <c r="E11" s="51" t="s">
        <v>44</v>
      </c>
      <c r="F11" s="51" t="s">
        <v>45</v>
      </c>
      <c r="G11" s="51"/>
      <c r="H11" s="51">
        <v>10</v>
      </c>
      <c r="I11" s="51">
        <v>100</v>
      </c>
    </row>
    <row r="12" s="44" customFormat="1" ht="18" customHeight="1" spans="1:9">
      <c r="A12" s="51" t="s">
        <v>46</v>
      </c>
      <c r="B12" s="51" t="s">
        <v>47</v>
      </c>
      <c r="C12" s="51"/>
      <c r="D12" s="50"/>
      <c r="E12" s="51" t="s">
        <v>48</v>
      </c>
      <c r="F12" s="51" t="s">
        <v>49</v>
      </c>
      <c r="G12" s="51"/>
      <c r="H12" s="51">
        <v>10</v>
      </c>
      <c r="I12" s="51">
        <v>100</v>
      </c>
    </row>
    <row r="13" s="44" customFormat="1" ht="18" customHeight="1" spans="1:9">
      <c r="A13" s="51"/>
      <c r="B13" s="51"/>
      <c r="C13" s="51"/>
      <c r="D13" s="50"/>
      <c r="E13" s="51"/>
      <c r="F13" s="51"/>
      <c r="G13" s="51"/>
      <c r="H13" s="51"/>
      <c r="I13" s="51"/>
    </row>
    <row r="14" s="44" customFormat="1" ht="18" customHeight="1" spans="1:9">
      <c r="A14" s="51"/>
      <c r="B14" s="51"/>
      <c r="C14" s="51"/>
      <c r="D14" s="50"/>
      <c r="E14" s="51"/>
      <c r="F14" s="51"/>
      <c r="G14" s="51"/>
      <c r="H14" s="51"/>
      <c r="I14" s="51"/>
    </row>
    <row r="15" s="44" customFormat="1" ht="18" customHeight="1" spans="1:9">
      <c r="A15" s="51"/>
      <c r="B15" s="51"/>
      <c r="C15" s="51"/>
      <c r="D15" s="50"/>
      <c r="E15" s="51"/>
      <c r="F15" s="51"/>
      <c r="G15" s="51"/>
      <c r="H15" s="51"/>
      <c r="I15" s="51"/>
    </row>
    <row r="16" s="44" customFormat="1" ht="18" customHeight="1" spans="1:9">
      <c r="A16" s="51"/>
      <c r="B16" s="51"/>
      <c r="C16" s="51"/>
      <c r="D16" s="50"/>
      <c r="E16" s="51"/>
      <c r="F16" s="51"/>
      <c r="G16" s="51"/>
      <c r="H16" s="51"/>
      <c r="I16" s="51"/>
    </row>
    <row r="17" s="44" customFormat="1" ht="18" customHeight="1" spans="1:9">
      <c r="A17" s="51"/>
      <c r="B17" s="51"/>
      <c r="C17" s="51"/>
      <c r="D17" s="50"/>
      <c r="E17" s="51"/>
      <c r="F17" s="51"/>
      <c r="G17" s="51"/>
      <c r="H17" s="51"/>
      <c r="I17" s="51"/>
    </row>
    <row r="18" s="44" customFormat="1" ht="18" customHeight="1" spans="1:9">
      <c r="A18" s="51"/>
      <c r="B18" s="51"/>
      <c r="C18" s="51"/>
      <c r="D18" s="50"/>
      <c r="E18" s="51"/>
      <c r="F18" s="51"/>
      <c r="G18" s="51"/>
      <c r="H18" s="51"/>
      <c r="I18" s="51"/>
    </row>
    <row r="19" s="44" customFormat="1" ht="18" customHeight="1" spans="1:9">
      <c r="A19" s="51"/>
      <c r="B19" s="51"/>
      <c r="C19" s="51"/>
      <c r="D19" s="50"/>
      <c r="E19" s="51"/>
      <c r="F19" s="51"/>
      <c r="G19" s="51"/>
      <c r="H19" s="51"/>
      <c r="I19" s="51"/>
    </row>
    <row r="20" s="44" customFormat="1" ht="18" customHeight="1" spans="1:9">
      <c r="A20" s="51"/>
      <c r="B20" s="51"/>
      <c r="C20" s="51"/>
      <c r="D20" s="50"/>
      <c r="E20" s="51"/>
      <c r="F20" s="51"/>
      <c r="G20" s="51"/>
      <c r="H20" s="51"/>
      <c r="I20" s="51"/>
    </row>
    <row r="21" s="44" customFormat="1" ht="18" customHeight="1" spans="1:9">
      <c r="A21" s="51"/>
      <c r="B21" s="51"/>
      <c r="C21" s="51"/>
      <c r="D21" s="50"/>
      <c r="E21" s="51"/>
      <c r="F21" s="51"/>
      <c r="G21" s="51"/>
      <c r="H21" s="51"/>
      <c r="I21" s="51"/>
    </row>
    <row r="22" s="44" customFormat="1" ht="18" customHeight="1" spans="1:9">
      <c r="A22" s="51"/>
      <c r="B22" s="51"/>
      <c r="C22" s="51"/>
      <c r="D22" s="50"/>
      <c r="E22" s="51"/>
      <c r="F22" s="51"/>
      <c r="G22" s="51"/>
      <c r="H22" s="51"/>
      <c r="I22" s="51"/>
    </row>
    <row r="23" s="44" customFormat="1" ht="18" customHeight="1" spans="1:9">
      <c r="A23" s="51"/>
      <c r="B23" s="51"/>
      <c r="C23" s="51"/>
      <c r="D23" s="50"/>
      <c r="E23" s="51"/>
      <c r="F23" s="51"/>
      <c r="G23" s="51"/>
      <c r="H23" s="51"/>
      <c r="I23" s="51"/>
    </row>
    <row r="24" s="44" customFormat="1" ht="18" customHeight="1" spans="1:9">
      <c r="A24" s="52"/>
      <c r="B24" s="52"/>
      <c r="C24" s="52"/>
      <c r="D24" s="50"/>
      <c r="E24" s="52"/>
      <c r="F24" s="52"/>
      <c r="G24" s="51"/>
      <c r="H24" s="51"/>
      <c r="I24" s="51"/>
    </row>
    <row r="25" s="44" customFormat="1" ht="18" customHeight="1" spans="1:9">
      <c r="A25" s="52"/>
      <c r="B25" s="52"/>
      <c r="C25" s="52"/>
      <c r="D25" s="50"/>
      <c r="E25" s="52"/>
      <c r="F25" s="52"/>
      <c r="G25" s="51"/>
      <c r="H25" s="51"/>
      <c r="I25" s="51"/>
    </row>
    <row r="26" s="44" customFormat="1" ht="18" customHeight="1" spans="1:9">
      <c r="A26" s="52"/>
      <c r="B26" s="52"/>
      <c r="C26" s="52"/>
      <c r="D26" s="50"/>
      <c r="E26" s="52"/>
      <c r="F26" s="52"/>
      <c r="G26" s="51"/>
      <c r="H26" s="51"/>
      <c r="I26" s="51"/>
    </row>
    <row r="27" s="44" customFormat="1" ht="18" customHeight="1" spans="1:9">
      <c r="A27" s="52"/>
      <c r="B27" s="52"/>
      <c r="C27" s="52"/>
      <c r="D27" s="50"/>
      <c r="E27" s="52"/>
      <c r="F27" s="52"/>
      <c r="G27" s="51"/>
      <c r="H27" s="51"/>
      <c r="I27" s="51"/>
    </row>
    <row r="28" s="44" customFormat="1" ht="18" customHeight="1" spans="1:9">
      <c r="A28" s="52"/>
      <c r="B28" s="52"/>
      <c r="C28" s="52"/>
      <c r="D28" s="50"/>
      <c r="E28" s="52"/>
      <c r="F28" s="52"/>
      <c r="G28" s="51"/>
      <c r="H28" s="51"/>
      <c r="I28" s="51"/>
    </row>
    <row r="29" s="44" customFormat="1" ht="18" customHeight="1" spans="1:9">
      <c r="A29" s="52"/>
      <c r="B29" s="52"/>
      <c r="C29" s="52"/>
      <c r="D29" s="50"/>
      <c r="E29" s="52"/>
      <c r="F29" s="52"/>
      <c r="G29" s="51"/>
      <c r="H29" s="51"/>
      <c r="I29" s="51"/>
    </row>
    <row r="30" s="44" customFormat="1" ht="18" customHeight="1" spans="1:9">
      <c r="A30" s="52"/>
      <c r="B30" s="52"/>
      <c r="C30" s="52"/>
      <c r="D30" s="50"/>
      <c r="E30" s="52"/>
      <c r="F30" s="52"/>
      <c r="G30" s="51"/>
      <c r="H30" s="51"/>
      <c r="I30" s="51"/>
    </row>
  </sheetData>
  <mergeCells count="2">
    <mergeCell ref="A1:C1"/>
    <mergeCell ref="E1:I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187"/>
  <sheetViews>
    <sheetView showGridLines="0" tabSelected="1" workbookViewId="0">
      <selection activeCell="E20" sqref="E20"/>
    </sheetView>
  </sheetViews>
  <sheetFormatPr defaultColWidth="9" defaultRowHeight="11.5" customHeight="1"/>
  <cols>
    <col min="1" max="1" width="17" style="3" customWidth="1"/>
    <col min="2" max="2" width="14.3451327433628" style="3" customWidth="1"/>
    <col min="3" max="3" width="11.8230088495575" style="3" customWidth="1"/>
    <col min="4" max="4" width="15.4778761061947" style="3" customWidth="1"/>
    <col min="5" max="5" width="17.4601769911504" style="3" customWidth="1"/>
    <col min="6" max="8" width="12.2477876106195" style="3" customWidth="1"/>
    <col min="9" max="9" width="29.9380530973451" style="3" customWidth="1"/>
    <col min="10" max="10" width="12.2477876106195" style="3" customWidth="1"/>
    <col min="11" max="11" width="9" style="3"/>
    <col min="12" max="13" width="16.6283185840708" style="3" customWidth="1"/>
    <col min="14" max="16384" width="9" style="3"/>
  </cols>
  <sheetData>
    <row r="1" ht="22.5" customHeight="1" spans="1:13">
      <c r="A1" s="29" t="s">
        <v>50</v>
      </c>
      <c r="B1" s="29"/>
      <c r="C1" s="29"/>
      <c r="D1" s="29"/>
      <c r="E1" s="29"/>
      <c r="F1" s="29"/>
      <c r="G1" s="29"/>
      <c r="H1" s="29"/>
      <c r="I1" s="29"/>
      <c r="J1" s="29"/>
      <c r="L1" s="30" t="s">
        <v>51</v>
      </c>
      <c r="M1" s="30"/>
    </row>
    <row r="2" s="3" customFormat="1" ht="22.5" customHeight="1" spans="1:13">
      <c r="A2" s="31" t="s">
        <v>2</v>
      </c>
      <c r="B2" s="32" t="s">
        <v>3</v>
      </c>
      <c r="C2" s="32" t="s">
        <v>52</v>
      </c>
      <c r="D2" s="32" t="s">
        <v>53</v>
      </c>
      <c r="E2" s="32" t="s">
        <v>54</v>
      </c>
      <c r="F2" s="33" t="s">
        <v>55</v>
      </c>
      <c r="G2" s="33" t="s">
        <v>56</v>
      </c>
      <c r="H2" s="33" t="s">
        <v>57</v>
      </c>
      <c r="I2" s="33" t="s">
        <v>58</v>
      </c>
      <c r="J2" s="34" t="s">
        <v>59</v>
      </c>
      <c r="L2" s="35" t="s">
        <v>60</v>
      </c>
      <c r="M2" s="35" t="s">
        <v>61</v>
      </c>
    </row>
    <row r="3" s="3" customFormat="1" customHeight="1" spans="1:13">
      <c r="A3" s="36" t="s">
        <v>10</v>
      </c>
      <c r="B3" s="18" t="str">
        <f>IFERROR(VLOOKUP(A3,基础信息表!A:B,2,0),"")</f>
        <v>成品1</v>
      </c>
      <c r="C3" s="14" t="s">
        <v>12</v>
      </c>
      <c r="D3" s="18" t="str">
        <f>IFERROR(VLOOKUP(C3,基础信息表!E:F,2,0),"")</f>
        <v>原料1</v>
      </c>
      <c r="E3" s="14">
        <v>2</v>
      </c>
      <c r="F3" s="37"/>
      <c r="G3" s="37">
        <f>E3*$F3</f>
        <v>0</v>
      </c>
      <c r="H3" s="37"/>
      <c r="I3" s="37">
        <f>E3*$F3*(1+H3)</f>
        <v>0</v>
      </c>
      <c r="J3" s="38"/>
      <c r="L3" s="18">
        <f>SUMIFS(成品出入库表!J:J,成品出入库表!H:H,BOM清单!A3)</f>
        <v>33</v>
      </c>
      <c r="M3" s="18">
        <f>L3*E3</f>
        <v>66</v>
      </c>
    </row>
    <row r="4" s="3" customFormat="1" customHeight="1" spans="1:13">
      <c r="A4" s="36" t="s">
        <v>10</v>
      </c>
      <c r="B4" s="18" t="str">
        <f>IFERROR(VLOOKUP(A4,基础信息表!A:B,2,0),"")</f>
        <v>成品1</v>
      </c>
      <c r="C4" s="14" t="s">
        <v>12</v>
      </c>
      <c r="D4" s="18" t="str">
        <f>IFERROR(VLOOKUP(C4,基础信息表!E:F,2,0),"")</f>
        <v>原料1</v>
      </c>
      <c r="E4" s="14">
        <v>2</v>
      </c>
      <c r="F4" s="37"/>
      <c r="G4" s="37">
        <f t="shared" ref="G4:G9" si="0">E4*$F4</f>
        <v>0</v>
      </c>
      <c r="H4" s="37"/>
      <c r="I4" s="37">
        <f t="shared" ref="I4:I10" si="1">E4*$F4*(1+H4)</f>
        <v>0</v>
      </c>
      <c r="J4" s="38"/>
      <c r="L4" s="18">
        <f>SUMIFS(成品出入库表!J:J,成品出入库表!H:H,BOM清单!A4)</f>
        <v>33</v>
      </c>
      <c r="M4" s="18">
        <f t="shared" ref="M4:M67" si="2">L4*E4</f>
        <v>66</v>
      </c>
    </row>
    <row r="5" s="3" customFormat="1" customHeight="1" spans="1:13">
      <c r="A5" s="36" t="s">
        <v>10</v>
      </c>
      <c r="B5" s="18" t="str">
        <f>IFERROR(VLOOKUP(A5,基础信息表!A:B,2,0),"")</f>
        <v>成品1</v>
      </c>
      <c r="C5" s="14" t="s">
        <v>20</v>
      </c>
      <c r="D5" s="18" t="str">
        <f>IFERROR(VLOOKUP(C5,基础信息表!E:F,2,0),"")</f>
        <v>原料3</v>
      </c>
      <c r="E5" s="14">
        <v>2</v>
      </c>
      <c r="F5" s="37"/>
      <c r="G5" s="37">
        <f t="shared" si="0"/>
        <v>0</v>
      </c>
      <c r="H5" s="37"/>
      <c r="I5" s="37">
        <f t="shared" si="1"/>
        <v>0</v>
      </c>
      <c r="J5" s="38"/>
      <c r="L5" s="18">
        <f>SUMIFS(成品出入库表!J:J,成品出入库表!H:H,BOM清单!A5)</f>
        <v>33</v>
      </c>
      <c r="M5" s="18">
        <f t="shared" si="2"/>
        <v>66</v>
      </c>
    </row>
    <row r="6" s="3" customFormat="1" customHeight="1" spans="1:13">
      <c r="A6" s="36" t="s">
        <v>10</v>
      </c>
      <c r="B6" s="18" t="str">
        <f>IFERROR(VLOOKUP(A6,基础信息表!A:B,2,0),"")</f>
        <v>成品1</v>
      </c>
      <c r="C6" s="14" t="s">
        <v>24</v>
      </c>
      <c r="D6" s="18" t="str">
        <f>IFERROR(VLOOKUP(C6,基础信息表!E:F,2,0),"")</f>
        <v>原料4</v>
      </c>
      <c r="E6" s="14">
        <v>2</v>
      </c>
      <c r="F6" s="37"/>
      <c r="G6" s="37">
        <f t="shared" si="0"/>
        <v>0</v>
      </c>
      <c r="H6" s="37"/>
      <c r="I6" s="37">
        <f t="shared" si="1"/>
        <v>0</v>
      </c>
      <c r="J6" s="38"/>
      <c r="L6" s="18">
        <f>SUMIFS(成品出入库表!J:J,成品出入库表!H:H,BOM清单!A6)</f>
        <v>33</v>
      </c>
      <c r="M6" s="18">
        <f t="shared" si="2"/>
        <v>66</v>
      </c>
    </row>
    <row r="7" s="3" customFormat="1" customHeight="1" spans="1:13">
      <c r="A7" s="36" t="s">
        <v>10</v>
      </c>
      <c r="B7" s="18" t="str">
        <f>IFERROR(VLOOKUP(A7,基础信息表!A:B,2,0),"")</f>
        <v>成品1</v>
      </c>
      <c r="C7" s="14" t="s">
        <v>28</v>
      </c>
      <c r="D7" s="18" t="str">
        <f>IFERROR(VLOOKUP(C7,基础信息表!E:F,2,0),"")</f>
        <v>原料5</v>
      </c>
      <c r="E7" s="14">
        <v>2</v>
      </c>
      <c r="F7" s="37"/>
      <c r="G7" s="37">
        <f t="shared" si="0"/>
        <v>0</v>
      </c>
      <c r="H7" s="37"/>
      <c r="I7" s="37">
        <f t="shared" si="1"/>
        <v>0</v>
      </c>
      <c r="J7" s="38"/>
      <c r="L7" s="18">
        <f>SUMIFS(成品出入库表!J:J,成品出入库表!H:H,BOM清单!A7)</f>
        <v>33</v>
      </c>
      <c r="M7" s="18">
        <f t="shared" si="2"/>
        <v>66</v>
      </c>
    </row>
    <row r="8" s="3" customFormat="1" customHeight="1" spans="1:13">
      <c r="A8" s="36" t="s">
        <v>10</v>
      </c>
      <c r="B8" s="18" t="str">
        <f>IFERROR(VLOOKUP(A8,基础信息表!A:B,2,0),"")</f>
        <v>成品1</v>
      </c>
      <c r="C8" s="14" t="s">
        <v>32</v>
      </c>
      <c r="D8" s="18" t="str">
        <f>IFERROR(VLOOKUP(C8,基础信息表!E:F,2,0),"")</f>
        <v>原料6</v>
      </c>
      <c r="E8" s="14">
        <v>2</v>
      </c>
      <c r="F8" s="37"/>
      <c r="G8" s="37">
        <f t="shared" si="0"/>
        <v>0</v>
      </c>
      <c r="H8" s="37"/>
      <c r="I8" s="37">
        <f t="shared" si="1"/>
        <v>0</v>
      </c>
      <c r="J8" s="38"/>
      <c r="L8" s="18">
        <f>SUMIFS(成品出入库表!J:J,成品出入库表!H:H,BOM清单!A8)</f>
        <v>33</v>
      </c>
      <c r="M8" s="18">
        <f t="shared" si="2"/>
        <v>66</v>
      </c>
    </row>
    <row r="9" s="3" customFormat="1" customHeight="1" spans="1:13">
      <c r="A9" s="36" t="s">
        <v>10</v>
      </c>
      <c r="B9" s="18" t="str">
        <f>IFERROR(VLOOKUP(A9,基础信息表!A:B,2,0),"")</f>
        <v>成品1</v>
      </c>
      <c r="C9" s="14" t="s">
        <v>36</v>
      </c>
      <c r="D9" s="18" t="str">
        <f>IFERROR(VLOOKUP(C9,基础信息表!E:F,2,0),"")</f>
        <v>原料7</v>
      </c>
      <c r="E9" s="14">
        <v>2</v>
      </c>
      <c r="F9" s="37"/>
      <c r="G9" s="37">
        <f t="shared" si="0"/>
        <v>0</v>
      </c>
      <c r="H9" s="37"/>
      <c r="I9" s="37">
        <f t="shared" si="1"/>
        <v>0</v>
      </c>
      <c r="J9" s="38"/>
      <c r="L9" s="18">
        <f>SUMIFS(成品出入库表!J:J,成品出入库表!H:H,BOM清单!A9)</f>
        <v>33</v>
      </c>
      <c r="M9" s="18">
        <f t="shared" si="2"/>
        <v>66</v>
      </c>
    </row>
    <row r="10" s="3" customFormat="1" customHeight="1" spans="1:13">
      <c r="A10" s="36"/>
      <c r="B10" s="18" t="str">
        <f>IFERROR(VLOOKUP(A10,基础信息表!A:B,2,0),"")</f>
        <v/>
      </c>
      <c r="C10" s="14"/>
      <c r="D10" s="18" t="str">
        <f>IFERROR(VLOOKUP(C10,基础信息表!E:F,2,0),"")</f>
        <v/>
      </c>
      <c r="E10" s="14"/>
      <c r="F10" s="37"/>
      <c r="G10" s="37"/>
      <c r="H10" s="37"/>
      <c r="I10" s="37">
        <f t="shared" si="1"/>
        <v>0</v>
      </c>
      <c r="J10" s="38"/>
      <c r="L10" s="18">
        <f>SUMIFS(成品出入库表!J:J,成品出入库表!H:H,BOM清单!A10)</f>
        <v>0</v>
      </c>
      <c r="M10" s="18">
        <f t="shared" si="2"/>
        <v>0</v>
      </c>
    </row>
    <row r="11" s="3" customFormat="1" customHeight="1" spans="1:13">
      <c r="A11" s="36"/>
      <c r="B11" s="18" t="str">
        <f>IFERROR(VLOOKUP(A11,基础信息表!A:B,2,0),"")</f>
        <v/>
      </c>
      <c r="C11" s="14"/>
      <c r="D11" s="18" t="str">
        <f>IFERROR(VLOOKUP(C11,基础信息表!E:F,2,0),"")</f>
        <v/>
      </c>
      <c r="E11" s="14"/>
      <c r="F11" s="37"/>
      <c r="G11" s="37"/>
      <c r="H11" s="37"/>
      <c r="I11" s="37"/>
      <c r="J11" s="38"/>
      <c r="L11" s="18">
        <f>SUMIFS(成品出入库表!J:J,成品出入库表!H:H,BOM清单!A11)</f>
        <v>0</v>
      </c>
      <c r="M11" s="18">
        <f t="shared" si="2"/>
        <v>0</v>
      </c>
    </row>
    <row r="12" s="3" customFormat="1" customHeight="1" spans="1:13">
      <c r="A12" s="36"/>
      <c r="B12" s="18" t="str">
        <f>IFERROR(VLOOKUP(A12,基础信息表!A:B,2,0),"")</f>
        <v/>
      </c>
      <c r="C12" s="14"/>
      <c r="D12" s="18" t="str">
        <f>IFERROR(VLOOKUP(C12,基础信息表!E:F,2,0),"")</f>
        <v/>
      </c>
      <c r="E12" s="14"/>
      <c r="F12" s="37"/>
      <c r="G12" s="37"/>
      <c r="H12" s="37"/>
      <c r="I12" s="37"/>
      <c r="J12" s="38"/>
      <c r="L12" s="18">
        <f>SUMIFS(成品出入库表!J:J,成品出入库表!H:H,BOM清单!A12)</f>
        <v>0</v>
      </c>
      <c r="M12" s="18">
        <f t="shared" si="2"/>
        <v>0</v>
      </c>
    </row>
    <row r="13" s="3" customFormat="1" customHeight="1" spans="1:13">
      <c r="A13" s="36"/>
      <c r="B13" s="18" t="str">
        <f>IFERROR(VLOOKUP(A13,基础信息表!A:B,2,0),"")</f>
        <v/>
      </c>
      <c r="C13" s="14"/>
      <c r="D13" s="18" t="str">
        <f>IFERROR(VLOOKUP(C13,基础信息表!E:F,2,0),"")</f>
        <v/>
      </c>
      <c r="E13" s="14"/>
      <c r="F13" s="37"/>
      <c r="G13" s="37"/>
      <c r="H13" s="37"/>
      <c r="I13" s="37"/>
      <c r="J13" s="38"/>
      <c r="L13" s="18">
        <f>SUMIFS(成品出入库表!J:J,成品出入库表!H:H,BOM清单!A13)</f>
        <v>0</v>
      </c>
      <c r="M13" s="18">
        <f t="shared" si="2"/>
        <v>0</v>
      </c>
    </row>
    <row r="14" s="3" customFormat="1" customHeight="1" spans="1:13">
      <c r="A14" s="36"/>
      <c r="B14" s="18" t="str">
        <f>IFERROR(VLOOKUP(A14,基础信息表!A:B,2,0),"")</f>
        <v/>
      </c>
      <c r="C14" s="14"/>
      <c r="D14" s="18" t="str">
        <f>IFERROR(VLOOKUP(C14,基础信息表!E:F,2,0),"")</f>
        <v/>
      </c>
      <c r="E14" s="14"/>
      <c r="F14" s="37"/>
      <c r="G14" s="37"/>
      <c r="H14" s="37"/>
      <c r="I14" s="37"/>
      <c r="J14" s="38"/>
      <c r="L14" s="18">
        <f>SUMIFS(成品出入库表!J:J,成品出入库表!H:H,BOM清单!A14)</f>
        <v>0</v>
      </c>
      <c r="M14" s="18">
        <f t="shared" si="2"/>
        <v>0</v>
      </c>
    </row>
    <row r="15" s="3" customFormat="1" customHeight="1" spans="1:13">
      <c r="A15" s="36"/>
      <c r="B15" s="18" t="str">
        <f>IFERROR(VLOOKUP(A15,基础信息表!A:B,2,0),"")</f>
        <v/>
      </c>
      <c r="C15" s="14"/>
      <c r="D15" s="18" t="str">
        <f>IFERROR(VLOOKUP(C15,基础信息表!E:F,2,0),"")</f>
        <v/>
      </c>
      <c r="E15" s="14"/>
      <c r="F15" s="37"/>
      <c r="G15" s="37"/>
      <c r="H15" s="37"/>
      <c r="I15" s="37"/>
      <c r="J15" s="38"/>
      <c r="L15" s="18">
        <f>SUMIFS(成品出入库表!J:J,成品出入库表!H:H,BOM清单!A15)</f>
        <v>0</v>
      </c>
      <c r="M15" s="18">
        <f t="shared" si="2"/>
        <v>0</v>
      </c>
    </row>
    <row r="16" s="3" customFormat="1" customHeight="1" spans="1:13">
      <c r="A16" s="36"/>
      <c r="B16" s="18" t="str">
        <f>IFERROR(VLOOKUP(A16,基础信息表!A:B,2,0),"")</f>
        <v/>
      </c>
      <c r="C16" s="14"/>
      <c r="D16" s="18" t="str">
        <f>IFERROR(VLOOKUP(C16,基础信息表!E:F,2,0),"")</f>
        <v/>
      </c>
      <c r="E16" s="14"/>
      <c r="F16" s="37"/>
      <c r="G16" s="37"/>
      <c r="H16" s="37"/>
      <c r="I16" s="37"/>
      <c r="J16" s="38"/>
      <c r="L16" s="18">
        <f>SUMIFS(成品出入库表!J:J,成品出入库表!H:H,BOM清单!A16)</f>
        <v>0</v>
      </c>
      <c r="M16" s="18">
        <f t="shared" si="2"/>
        <v>0</v>
      </c>
    </row>
    <row r="17" s="3" customFormat="1" customHeight="1" spans="1:13">
      <c r="A17" s="36"/>
      <c r="B17" s="18" t="str">
        <f>IFERROR(VLOOKUP(A17,基础信息表!A:B,2,0),"")</f>
        <v/>
      </c>
      <c r="C17" s="14"/>
      <c r="D17" s="18" t="str">
        <f>IFERROR(VLOOKUP(C17,基础信息表!E:F,2,0),"")</f>
        <v/>
      </c>
      <c r="E17" s="14"/>
      <c r="F17" s="37"/>
      <c r="G17" s="37"/>
      <c r="H17" s="37"/>
      <c r="I17" s="37"/>
      <c r="J17" s="38"/>
      <c r="L17" s="18">
        <f>SUMIFS(成品出入库表!J:J,成品出入库表!H:H,BOM清单!A17)</f>
        <v>0</v>
      </c>
      <c r="M17" s="18">
        <f t="shared" si="2"/>
        <v>0</v>
      </c>
    </row>
    <row r="18" s="3" customFormat="1" customHeight="1" spans="1:13">
      <c r="A18" s="36"/>
      <c r="B18" s="18" t="str">
        <f>IFERROR(VLOOKUP(A18,基础信息表!A:B,2,0),"")</f>
        <v/>
      </c>
      <c r="C18" s="14"/>
      <c r="D18" s="18" t="str">
        <f>IFERROR(VLOOKUP(C18,基础信息表!E:F,2,0),"")</f>
        <v/>
      </c>
      <c r="E18" s="14"/>
      <c r="F18" s="37"/>
      <c r="G18" s="37"/>
      <c r="H18" s="37"/>
      <c r="I18" s="37"/>
      <c r="J18" s="38"/>
      <c r="L18" s="18">
        <f>SUMIFS(成品出入库表!J:J,成品出入库表!H:H,BOM清单!A18)</f>
        <v>0</v>
      </c>
      <c r="M18" s="18">
        <f t="shared" si="2"/>
        <v>0</v>
      </c>
    </row>
    <row r="19" s="3" customFormat="1" customHeight="1" spans="1:13">
      <c r="A19" s="36"/>
      <c r="B19" s="18" t="str">
        <f>IFERROR(VLOOKUP(A19,基础信息表!A:B,2,0),"")</f>
        <v/>
      </c>
      <c r="C19" s="14"/>
      <c r="D19" s="18" t="str">
        <f>IFERROR(VLOOKUP(C19,基础信息表!E:F,2,0),"")</f>
        <v/>
      </c>
      <c r="E19" s="14"/>
      <c r="F19" s="37"/>
      <c r="G19" s="37"/>
      <c r="H19" s="37"/>
      <c r="I19" s="37"/>
      <c r="J19" s="38"/>
      <c r="L19" s="18">
        <f>SUMIFS(成品出入库表!J:J,成品出入库表!H:H,BOM清单!A19)</f>
        <v>0</v>
      </c>
      <c r="M19" s="18">
        <f t="shared" si="2"/>
        <v>0</v>
      </c>
    </row>
    <row r="20" s="3" customFormat="1" customHeight="1" spans="1:13">
      <c r="A20" s="36"/>
      <c r="B20" s="18" t="str">
        <f>IFERROR(VLOOKUP(A20,基础信息表!A:B,2,0),"")</f>
        <v/>
      </c>
      <c r="C20" s="14"/>
      <c r="D20" s="18" t="str">
        <f>IFERROR(VLOOKUP(C20,基础信息表!E:F,2,0),"")</f>
        <v/>
      </c>
      <c r="E20" s="14"/>
      <c r="F20" s="37"/>
      <c r="G20" s="37"/>
      <c r="H20" s="37"/>
      <c r="I20" s="37"/>
      <c r="J20" s="38"/>
      <c r="L20" s="18">
        <f>SUMIFS(成品出入库表!J:J,成品出入库表!H:H,BOM清单!A20)</f>
        <v>0</v>
      </c>
      <c r="M20" s="18">
        <f t="shared" si="2"/>
        <v>0</v>
      </c>
    </row>
    <row r="21" s="3" customFormat="1" customHeight="1" spans="1:13">
      <c r="A21" s="36"/>
      <c r="B21" s="18" t="str">
        <f>IFERROR(VLOOKUP(A21,基础信息表!A:B,2,0),"")</f>
        <v/>
      </c>
      <c r="C21" s="14"/>
      <c r="D21" s="18" t="str">
        <f>IFERROR(VLOOKUP(C21,基础信息表!E:F,2,0),"")</f>
        <v/>
      </c>
      <c r="E21" s="14"/>
      <c r="F21" s="37"/>
      <c r="G21" s="37"/>
      <c r="H21" s="37"/>
      <c r="I21" s="37"/>
      <c r="J21" s="38"/>
      <c r="L21" s="18">
        <f>SUMIFS(成品出入库表!J:J,成品出入库表!H:H,BOM清单!A21)</f>
        <v>0</v>
      </c>
      <c r="M21" s="18">
        <f t="shared" si="2"/>
        <v>0</v>
      </c>
    </row>
    <row r="22" s="3" customFormat="1" customHeight="1" spans="1:13">
      <c r="A22" s="36"/>
      <c r="B22" s="18" t="str">
        <f>IFERROR(VLOOKUP(A22,基础信息表!A:B,2,0),"")</f>
        <v/>
      </c>
      <c r="C22" s="14"/>
      <c r="D22" s="18" t="str">
        <f>IFERROR(VLOOKUP(C22,基础信息表!E:F,2,0),"")</f>
        <v/>
      </c>
      <c r="E22" s="14"/>
      <c r="F22" s="37"/>
      <c r="G22" s="37"/>
      <c r="H22" s="37"/>
      <c r="I22" s="37"/>
      <c r="J22" s="38"/>
      <c r="L22" s="18">
        <f>SUMIFS(成品出入库表!J:J,成品出入库表!H:H,BOM清单!A22)</f>
        <v>0</v>
      </c>
      <c r="M22" s="18">
        <f t="shared" si="2"/>
        <v>0</v>
      </c>
    </row>
    <row r="23" s="3" customFormat="1" customHeight="1" spans="1:13">
      <c r="A23" s="36"/>
      <c r="B23" s="18" t="str">
        <f>IFERROR(VLOOKUP(A23,基础信息表!A:B,2,0),"")</f>
        <v/>
      </c>
      <c r="C23" s="14"/>
      <c r="D23" s="18" t="str">
        <f>IFERROR(VLOOKUP(C23,基础信息表!E:F,2,0),"")</f>
        <v/>
      </c>
      <c r="E23" s="14"/>
      <c r="F23" s="37"/>
      <c r="G23" s="37"/>
      <c r="H23" s="37"/>
      <c r="I23" s="37"/>
      <c r="J23" s="38"/>
      <c r="L23" s="18">
        <f>SUMIFS(成品出入库表!J:J,成品出入库表!H:H,BOM清单!A23)</f>
        <v>0</v>
      </c>
      <c r="M23" s="18">
        <f t="shared" si="2"/>
        <v>0</v>
      </c>
    </row>
    <row r="24" s="3" customFormat="1" customHeight="1" spans="1:13">
      <c r="A24" s="36"/>
      <c r="B24" s="18" t="str">
        <f>IFERROR(VLOOKUP(A24,基础信息表!A:B,2,0),"")</f>
        <v/>
      </c>
      <c r="C24" s="14"/>
      <c r="D24" s="18" t="str">
        <f>IFERROR(VLOOKUP(C24,基础信息表!E:F,2,0),"")</f>
        <v/>
      </c>
      <c r="E24" s="14"/>
      <c r="F24" s="37"/>
      <c r="G24" s="37"/>
      <c r="H24" s="37"/>
      <c r="I24" s="37"/>
      <c r="J24" s="38"/>
      <c r="L24" s="18">
        <f>SUMIFS(成品出入库表!J:J,成品出入库表!H:H,BOM清单!A24)</f>
        <v>0</v>
      </c>
      <c r="M24" s="18">
        <f t="shared" si="2"/>
        <v>0</v>
      </c>
    </row>
    <row r="25" s="3" customFormat="1" customHeight="1" spans="1:13">
      <c r="A25" s="36"/>
      <c r="B25" s="18" t="str">
        <f>IFERROR(VLOOKUP(A25,基础信息表!A:B,2,0),"")</f>
        <v/>
      </c>
      <c r="C25" s="14"/>
      <c r="D25" s="18" t="str">
        <f>IFERROR(VLOOKUP(C25,基础信息表!E:F,2,0),"")</f>
        <v/>
      </c>
      <c r="E25" s="14"/>
      <c r="F25" s="37"/>
      <c r="G25" s="37"/>
      <c r="H25" s="37"/>
      <c r="I25" s="37"/>
      <c r="J25" s="38"/>
      <c r="L25" s="18">
        <f>SUMIFS(成品出入库表!J:J,成品出入库表!H:H,BOM清单!A25)</f>
        <v>0</v>
      </c>
      <c r="M25" s="18">
        <f t="shared" si="2"/>
        <v>0</v>
      </c>
    </row>
    <row r="26" s="3" customFormat="1" customHeight="1" spans="1:13">
      <c r="A26" s="36"/>
      <c r="B26" s="18" t="str">
        <f>IFERROR(VLOOKUP(A26,基础信息表!A:B,2,0),"")</f>
        <v/>
      </c>
      <c r="C26" s="14"/>
      <c r="D26" s="18" t="str">
        <f>IFERROR(VLOOKUP(C26,基础信息表!E:F,2,0),"")</f>
        <v/>
      </c>
      <c r="E26" s="14"/>
      <c r="F26" s="37"/>
      <c r="G26" s="37"/>
      <c r="H26" s="37"/>
      <c r="I26" s="37"/>
      <c r="J26" s="38"/>
      <c r="L26" s="18">
        <f>SUMIFS(成品出入库表!J:J,成品出入库表!H:H,BOM清单!A26)</f>
        <v>0</v>
      </c>
      <c r="M26" s="18">
        <f t="shared" si="2"/>
        <v>0</v>
      </c>
    </row>
    <row r="27" s="3" customFormat="1" customHeight="1" spans="1:13">
      <c r="A27" s="36"/>
      <c r="B27" s="18" t="str">
        <f>IFERROR(VLOOKUP(A27,基础信息表!A:B,2,0),"")</f>
        <v/>
      </c>
      <c r="C27" s="14"/>
      <c r="D27" s="18" t="str">
        <f>IFERROR(VLOOKUP(C27,基础信息表!E:F,2,0),"")</f>
        <v/>
      </c>
      <c r="E27" s="14"/>
      <c r="F27" s="37"/>
      <c r="G27" s="37"/>
      <c r="H27" s="37"/>
      <c r="I27" s="37"/>
      <c r="J27" s="38"/>
      <c r="L27" s="18">
        <f>SUMIFS(成品出入库表!J:J,成品出入库表!H:H,BOM清单!A27)</f>
        <v>0</v>
      </c>
      <c r="M27" s="18">
        <f t="shared" si="2"/>
        <v>0</v>
      </c>
    </row>
    <row r="28" s="3" customFormat="1" customHeight="1" spans="1:13">
      <c r="A28" s="36"/>
      <c r="B28" s="18" t="str">
        <f>IFERROR(VLOOKUP(A28,基础信息表!A:B,2,0),"")</f>
        <v/>
      </c>
      <c r="C28" s="14"/>
      <c r="D28" s="18" t="str">
        <f>IFERROR(VLOOKUP(C28,基础信息表!E:F,2,0),"")</f>
        <v/>
      </c>
      <c r="E28" s="14"/>
      <c r="F28" s="37"/>
      <c r="G28" s="37"/>
      <c r="H28" s="37"/>
      <c r="I28" s="37"/>
      <c r="J28" s="38"/>
      <c r="L28" s="18">
        <f>SUMIFS(成品出入库表!J:J,成品出入库表!H:H,BOM清单!A28)</f>
        <v>0</v>
      </c>
      <c r="M28" s="18">
        <f t="shared" si="2"/>
        <v>0</v>
      </c>
    </row>
    <row r="29" s="3" customFormat="1" customHeight="1" spans="1:13">
      <c r="A29" s="36"/>
      <c r="B29" s="18" t="str">
        <f>IFERROR(VLOOKUP(A29,基础信息表!A:B,2,0),"")</f>
        <v/>
      </c>
      <c r="C29" s="14"/>
      <c r="D29" s="18" t="str">
        <f>IFERROR(VLOOKUP(C29,基础信息表!E:F,2,0),"")</f>
        <v/>
      </c>
      <c r="E29" s="14"/>
      <c r="F29" s="37"/>
      <c r="G29" s="37"/>
      <c r="H29" s="37"/>
      <c r="I29" s="37"/>
      <c r="J29" s="38"/>
      <c r="L29" s="18">
        <f>SUMIFS(成品出入库表!J:J,成品出入库表!H:H,BOM清单!A29)</f>
        <v>0</v>
      </c>
      <c r="M29" s="18">
        <f t="shared" si="2"/>
        <v>0</v>
      </c>
    </row>
    <row r="30" s="3" customFormat="1" customHeight="1" spans="1:13">
      <c r="A30" s="36"/>
      <c r="B30" s="18" t="str">
        <f>IFERROR(VLOOKUP(A30,基础信息表!A:B,2,0),"")</f>
        <v/>
      </c>
      <c r="C30" s="14"/>
      <c r="D30" s="18" t="str">
        <f>IFERROR(VLOOKUP(C30,基础信息表!E:F,2,0),"")</f>
        <v/>
      </c>
      <c r="E30" s="14"/>
      <c r="F30" s="37"/>
      <c r="G30" s="37"/>
      <c r="H30" s="37"/>
      <c r="I30" s="37"/>
      <c r="J30" s="38"/>
      <c r="L30" s="18">
        <f>SUMIFS(成品出入库表!J:J,成品出入库表!H:H,BOM清单!A30)</f>
        <v>0</v>
      </c>
      <c r="M30" s="18">
        <f t="shared" si="2"/>
        <v>0</v>
      </c>
    </row>
    <row r="31" s="3" customFormat="1" customHeight="1" spans="1:13">
      <c r="A31" s="36"/>
      <c r="B31" s="18" t="str">
        <f>IFERROR(VLOOKUP(A31,基础信息表!A:B,2,0),"")</f>
        <v/>
      </c>
      <c r="C31" s="14"/>
      <c r="D31" s="18" t="str">
        <f>IFERROR(VLOOKUP(C31,基础信息表!E:F,2,0),"")</f>
        <v/>
      </c>
      <c r="E31" s="14"/>
      <c r="F31" s="37"/>
      <c r="G31" s="37"/>
      <c r="H31" s="37"/>
      <c r="I31" s="37"/>
      <c r="J31" s="38"/>
      <c r="L31" s="18">
        <f>SUMIFS(成品出入库表!J:J,成品出入库表!H:H,BOM清单!A31)</f>
        <v>0</v>
      </c>
      <c r="M31" s="18">
        <f t="shared" si="2"/>
        <v>0</v>
      </c>
    </row>
    <row r="32" s="3" customFormat="1" customHeight="1" spans="1:13">
      <c r="A32" s="36"/>
      <c r="B32" s="18" t="str">
        <f>IFERROR(VLOOKUP(A32,基础信息表!A:B,2,0),"")</f>
        <v/>
      </c>
      <c r="C32" s="14"/>
      <c r="D32" s="18" t="str">
        <f>IFERROR(VLOOKUP(C32,基础信息表!E:F,2,0),"")</f>
        <v/>
      </c>
      <c r="E32" s="14"/>
      <c r="F32" s="37"/>
      <c r="G32" s="37"/>
      <c r="H32" s="37"/>
      <c r="I32" s="37"/>
      <c r="J32" s="38"/>
      <c r="L32" s="18">
        <f>SUMIFS(成品出入库表!J:J,成品出入库表!H:H,BOM清单!A32)</f>
        <v>0</v>
      </c>
      <c r="M32" s="18">
        <f t="shared" si="2"/>
        <v>0</v>
      </c>
    </row>
    <row r="33" s="3" customFormat="1" customHeight="1" spans="1:13">
      <c r="A33" s="36"/>
      <c r="B33" s="18" t="str">
        <f>IFERROR(VLOOKUP(A33,基础信息表!A:B,2,0),"")</f>
        <v/>
      </c>
      <c r="C33" s="14"/>
      <c r="D33" s="18" t="str">
        <f>IFERROR(VLOOKUP(C33,基础信息表!E:F,2,0),"")</f>
        <v/>
      </c>
      <c r="E33" s="14"/>
      <c r="F33" s="37"/>
      <c r="G33" s="37"/>
      <c r="H33" s="37"/>
      <c r="I33" s="37"/>
      <c r="J33" s="38"/>
      <c r="L33" s="18">
        <f>SUMIFS(成品出入库表!J:J,成品出入库表!H:H,BOM清单!A33)</f>
        <v>0</v>
      </c>
      <c r="M33" s="18">
        <f t="shared" si="2"/>
        <v>0</v>
      </c>
    </row>
    <row r="34" s="3" customFormat="1" customHeight="1" spans="1:13">
      <c r="A34" s="36"/>
      <c r="B34" s="18" t="str">
        <f>IFERROR(VLOOKUP(A34,基础信息表!A:B,2,0),"")</f>
        <v/>
      </c>
      <c r="C34" s="14"/>
      <c r="D34" s="18" t="str">
        <f>IFERROR(VLOOKUP(C34,基础信息表!E:F,2,0),"")</f>
        <v/>
      </c>
      <c r="E34" s="14"/>
      <c r="F34" s="37"/>
      <c r="G34" s="37"/>
      <c r="H34" s="37"/>
      <c r="I34" s="37"/>
      <c r="J34" s="38"/>
      <c r="L34" s="18">
        <f>SUMIFS(成品出入库表!J:J,成品出入库表!H:H,BOM清单!A34)</f>
        <v>0</v>
      </c>
      <c r="M34" s="18">
        <f t="shared" si="2"/>
        <v>0</v>
      </c>
    </row>
    <row r="35" s="3" customFormat="1" customHeight="1" spans="1:13">
      <c r="A35" s="36"/>
      <c r="B35" s="18" t="str">
        <f>IFERROR(VLOOKUP(A35,基础信息表!A:B,2,0),"")</f>
        <v/>
      </c>
      <c r="C35" s="14"/>
      <c r="D35" s="18" t="str">
        <f>IFERROR(VLOOKUP(C35,基础信息表!E:F,2,0),"")</f>
        <v/>
      </c>
      <c r="E35" s="14"/>
      <c r="F35" s="37"/>
      <c r="G35" s="37"/>
      <c r="H35" s="37"/>
      <c r="I35" s="37"/>
      <c r="J35" s="38"/>
      <c r="L35" s="18">
        <f>SUMIFS(成品出入库表!J:J,成品出入库表!H:H,BOM清单!A35)</f>
        <v>0</v>
      </c>
      <c r="M35" s="18">
        <f t="shared" si="2"/>
        <v>0</v>
      </c>
    </row>
    <row r="36" s="3" customFormat="1" customHeight="1" spans="1:13">
      <c r="A36" s="36"/>
      <c r="B36" s="18" t="str">
        <f>IFERROR(VLOOKUP(A36,基础信息表!A:B,2,0),"")</f>
        <v/>
      </c>
      <c r="C36" s="14"/>
      <c r="D36" s="18" t="str">
        <f>IFERROR(VLOOKUP(C36,基础信息表!E:F,2,0),"")</f>
        <v/>
      </c>
      <c r="E36" s="14"/>
      <c r="F36" s="37"/>
      <c r="G36" s="37"/>
      <c r="H36" s="37"/>
      <c r="I36" s="37"/>
      <c r="J36" s="38"/>
      <c r="L36" s="18">
        <f>SUMIFS(成品出入库表!J:J,成品出入库表!H:H,BOM清单!A36)</f>
        <v>0</v>
      </c>
      <c r="M36" s="18">
        <f t="shared" si="2"/>
        <v>0</v>
      </c>
    </row>
    <row r="37" s="3" customFormat="1" customHeight="1" spans="1:13">
      <c r="A37" s="36"/>
      <c r="B37" s="18" t="str">
        <f>IFERROR(VLOOKUP(A37,基础信息表!A:B,2,0),"")</f>
        <v/>
      </c>
      <c r="C37" s="14"/>
      <c r="D37" s="18" t="str">
        <f>IFERROR(VLOOKUP(C37,基础信息表!E:F,2,0),"")</f>
        <v/>
      </c>
      <c r="E37" s="14"/>
      <c r="F37" s="37"/>
      <c r="G37" s="37"/>
      <c r="H37" s="37"/>
      <c r="I37" s="37"/>
      <c r="J37" s="38"/>
      <c r="L37" s="18">
        <f>SUMIFS(成品出入库表!J:J,成品出入库表!H:H,BOM清单!A37)</f>
        <v>0</v>
      </c>
      <c r="M37" s="18">
        <f t="shared" si="2"/>
        <v>0</v>
      </c>
    </row>
    <row r="38" s="3" customFormat="1" customHeight="1" spans="1:13">
      <c r="A38" s="36"/>
      <c r="B38" s="18" t="str">
        <f>IFERROR(VLOOKUP(A38,基础信息表!A:B,2,0),"")</f>
        <v/>
      </c>
      <c r="C38" s="14"/>
      <c r="D38" s="18" t="str">
        <f>IFERROR(VLOOKUP(C38,基础信息表!E:F,2,0),"")</f>
        <v/>
      </c>
      <c r="E38" s="14"/>
      <c r="F38" s="37"/>
      <c r="G38" s="37"/>
      <c r="H38" s="37"/>
      <c r="I38" s="37"/>
      <c r="J38" s="38"/>
      <c r="L38" s="18">
        <f>SUMIFS(成品出入库表!J:J,成品出入库表!H:H,BOM清单!A38)</f>
        <v>0</v>
      </c>
      <c r="M38" s="18">
        <f t="shared" si="2"/>
        <v>0</v>
      </c>
    </row>
    <row r="39" s="3" customFormat="1" customHeight="1" spans="1:13">
      <c r="A39" s="36"/>
      <c r="B39" s="18" t="str">
        <f>IFERROR(VLOOKUP(A39,基础信息表!A:B,2,0),"")</f>
        <v/>
      </c>
      <c r="C39" s="14"/>
      <c r="D39" s="18" t="str">
        <f>IFERROR(VLOOKUP(C39,基础信息表!E:F,2,0),"")</f>
        <v/>
      </c>
      <c r="E39" s="14"/>
      <c r="F39" s="37"/>
      <c r="G39" s="37"/>
      <c r="H39" s="37"/>
      <c r="I39" s="37"/>
      <c r="J39" s="38"/>
      <c r="L39" s="18">
        <f>SUMIFS(成品出入库表!J:J,成品出入库表!H:H,BOM清单!A39)</f>
        <v>0</v>
      </c>
      <c r="M39" s="18">
        <f t="shared" si="2"/>
        <v>0</v>
      </c>
    </row>
    <row r="40" s="3" customFormat="1" customHeight="1" spans="1:13">
      <c r="A40" s="36"/>
      <c r="B40" s="18" t="str">
        <f>IFERROR(VLOOKUP(A40,基础信息表!A:B,2,0),"")</f>
        <v/>
      </c>
      <c r="C40" s="14"/>
      <c r="D40" s="18" t="str">
        <f>IFERROR(VLOOKUP(C40,基础信息表!E:F,2,0),"")</f>
        <v/>
      </c>
      <c r="E40" s="14"/>
      <c r="F40" s="37"/>
      <c r="G40" s="37"/>
      <c r="H40" s="37"/>
      <c r="I40" s="37"/>
      <c r="J40" s="38"/>
      <c r="L40" s="18">
        <f>SUMIFS(成品出入库表!J:J,成品出入库表!H:H,BOM清单!A40)</f>
        <v>0</v>
      </c>
      <c r="M40" s="18">
        <f t="shared" si="2"/>
        <v>0</v>
      </c>
    </row>
    <row r="41" s="3" customFormat="1" customHeight="1" spans="1:13">
      <c r="A41" s="36"/>
      <c r="B41" s="18" t="str">
        <f>IFERROR(VLOOKUP(A41,基础信息表!A:B,2,0),"")</f>
        <v/>
      </c>
      <c r="C41" s="14"/>
      <c r="D41" s="18" t="str">
        <f>IFERROR(VLOOKUP(C41,基础信息表!E:F,2,0),"")</f>
        <v/>
      </c>
      <c r="E41" s="14"/>
      <c r="F41" s="37"/>
      <c r="G41" s="37"/>
      <c r="H41" s="37"/>
      <c r="I41" s="37"/>
      <c r="J41" s="38"/>
      <c r="L41" s="18">
        <f>SUMIFS(成品出入库表!J:J,成品出入库表!H:H,BOM清单!A41)</f>
        <v>0</v>
      </c>
      <c r="M41" s="18">
        <f t="shared" si="2"/>
        <v>0</v>
      </c>
    </row>
    <row r="42" s="3" customFormat="1" customHeight="1" spans="1:13">
      <c r="A42" s="36"/>
      <c r="B42" s="18" t="str">
        <f>IFERROR(VLOOKUP(A42,基础信息表!A:B,2,0),"")</f>
        <v/>
      </c>
      <c r="C42" s="14"/>
      <c r="D42" s="18" t="str">
        <f>IFERROR(VLOOKUP(C42,基础信息表!E:F,2,0),"")</f>
        <v/>
      </c>
      <c r="E42" s="14"/>
      <c r="F42" s="37"/>
      <c r="G42" s="37"/>
      <c r="H42" s="37"/>
      <c r="I42" s="37"/>
      <c r="J42" s="38"/>
      <c r="L42" s="18">
        <f>SUMIFS(成品出入库表!J:J,成品出入库表!H:H,BOM清单!A42)</f>
        <v>0</v>
      </c>
      <c r="M42" s="18">
        <f t="shared" si="2"/>
        <v>0</v>
      </c>
    </row>
    <row r="43" s="3" customFormat="1" customHeight="1" spans="1:13">
      <c r="A43" s="36"/>
      <c r="B43" s="18" t="str">
        <f>IFERROR(VLOOKUP(A43,基础信息表!A:B,2,0),"")</f>
        <v/>
      </c>
      <c r="C43" s="14"/>
      <c r="D43" s="18" t="str">
        <f>IFERROR(VLOOKUP(C43,基础信息表!E:F,2,0),"")</f>
        <v/>
      </c>
      <c r="E43" s="14"/>
      <c r="F43" s="37"/>
      <c r="G43" s="37"/>
      <c r="H43" s="37"/>
      <c r="I43" s="37"/>
      <c r="J43" s="38"/>
      <c r="L43" s="18">
        <f>SUMIFS(成品出入库表!J:J,成品出入库表!H:H,BOM清单!A43)</f>
        <v>0</v>
      </c>
      <c r="M43" s="18">
        <f t="shared" si="2"/>
        <v>0</v>
      </c>
    </row>
    <row r="44" s="3" customFormat="1" customHeight="1" spans="1:13">
      <c r="A44" s="36"/>
      <c r="B44" s="18" t="str">
        <f>IFERROR(VLOOKUP(A44,基础信息表!A:B,2,0),"")</f>
        <v/>
      </c>
      <c r="C44" s="14"/>
      <c r="D44" s="18" t="str">
        <f>IFERROR(VLOOKUP(C44,基础信息表!E:F,2,0),"")</f>
        <v/>
      </c>
      <c r="E44" s="14"/>
      <c r="F44" s="37"/>
      <c r="G44" s="37"/>
      <c r="H44" s="37"/>
      <c r="I44" s="37"/>
      <c r="J44" s="38"/>
      <c r="L44" s="18">
        <f>SUMIFS(成品出入库表!J:J,成品出入库表!H:H,BOM清单!A44)</f>
        <v>0</v>
      </c>
      <c r="M44" s="18">
        <f t="shared" si="2"/>
        <v>0</v>
      </c>
    </row>
    <row r="45" s="3" customFormat="1" customHeight="1" spans="1:13">
      <c r="A45" s="36"/>
      <c r="B45" s="18" t="str">
        <f>IFERROR(VLOOKUP(A45,基础信息表!A:B,2,0),"")</f>
        <v/>
      </c>
      <c r="C45" s="14"/>
      <c r="D45" s="18" t="str">
        <f>IFERROR(VLOOKUP(C45,基础信息表!E:F,2,0),"")</f>
        <v/>
      </c>
      <c r="E45" s="14"/>
      <c r="F45" s="37"/>
      <c r="G45" s="37"/>
      <c r="H45" s="37"/>
      <c r="I45" s="37"/>
      <c r="J45" s="38"/>
      <c r="L45" s="18">
        <f>SUMIFS(成品出入库表!J:J,成品出入库表!H:H,BOM清单!A45)</f>
        <v>0</v>
      </c>
      <c r="M45" s="18">
        <f t="shared" si="2"/>
        <v>0</v>
      </c>
    </row>
    <row r="46" s="3" customFormat="1" customHeight="1" spans="1:13">
      <c r="A46" s="36"/>
      <c r="B46" s="18" t="str">
        <f>IFERROR(VLOOKUP(A46,基础信息表!A:B,2,0),"")</f>
        <v/>
      </c>
      <c r="C46" s="14"/>
      <c r="D46" s="18" t="str">
        <f>IFERROR(VLOOKUP(C46,基础信息表!E:F,2,0),"")</f>
        <v/>
      </c>
      <c r="E46" s="14"/>
      <c r="F46" s="37"/>
      <c r="G46" s="37"/>
      <c r="H46" s="37"/>
      <c r="I46" s="37"/>
      <c r="J46" s="38"/>
      <c r="L46" s="18">
        <f>SUMIFS(成品出入库表!J:J,成品出入库表!H:H,BOM清单!A46)</f>
        <v>0</v>
      </c>
      <c r="M46" s="18">
        <f t="shared" si="2"/>
        <v>0</v>
      </c>
    </row>
    <row r="47" s="3" customFormat="1" customHeight="1" spans="1:13">
      <c r="A47" s="36"/>
      <c r="B47" s="18" t="str">
        <f>IFERROR(VLOOKUP(A47,基础信息表!A:B,2,0),"")</f>
        <v/>
      </c>
      <c r="C47" s="14"/>
      <c r="D47" s="18" t="str">
        <f>IFERROR(VLOOKUP(C47,基础信息表!E:F,2,0),"")</f>
        <v/>
      </c>
      <c r="E47" s="14"/>
      <c r="F47" s="37"/>
      <c r="G47" s="37"/>
      <c r="H47" s="37"/>
      <c r="I47" s="37"/>
      <c r="J47" s="38"/>
      <c r="L47" s="18">
        <f>SUMIFS(成品出入库表!J:J,成品出入库表!H:H,BOM清单!A47)</f>
        <v>0</v>
      </c>
      <c r="M47" s="18">
        <f t="shared" si="2"/>
        <v>0</v>
      </c>
    </row>
    <row r="48" s="3" customFormat="1" customHeight="1" spans="1:13">
      <c r="A48" s="36"/>
      <c r="B48" s="18" t="str">
        <f>IFERROR(VLOOKUP(A48,基础信息表!A:B,2,0),"")</f>
        <v/>
      </c>
      <c r="C48" s="14"/>
      <c r="D48" s="18" t="str">
        <f>IFERROR(VLOOKUP(C48,基础信息表!E:F,2,0),"")</f>
        <v/>
      </c>
      <c r="E48" s="14"/>
      <c r="F48" s="37"/>
      <c r="G48" s="37"/>
      <c r="H48" s="37"/>
      <c r="I48" s="37"/>
      <c r="J48" s="38"/>
      <c r="L48" s="18">
        <f>SUMIFS(成品出入库表!J:J,成品出入库表!H:H,BOM清单!A48)</f>
        <v>0</v>
      </c>
      <c r="M48" s="18">
        <f t="shared" si="2"/>
        <v>0</v>
      </c>
    </row>
    <row r="49" s="3" customFormat="1" customHeight="1" spans="1:13">
      <c r="A49" s="36"/>
      <c r="B49" s="18" t="str">
        <f>IFERROR(VLOOKUP(A49,基础信息表!A:B,2,0),"")</f>
        <v/>
      </c>
      <c r="C49" s="14"/>
      <c r="D49" s="18" t="str">
        <f>IFERROR(VLOOKUP(C49,基础信息表!E:F,2,0),"")</f>
        <v/>
      </c>
      <c r="E49" s="14"/>
      <c r="F49" s="37"/>
      <c r="G49" s="37"/>
      <c r="H49" s="37"/>
      <c r="I49" s="37"/>
      <c r="J49" s="38"/>
      <c r="L49" s="18">
        <f>SUMIFS(成品出入库表!J:J,成品出入库表!H:H,BOM清单!A49)</f>
        <v>0</v>
      </c>
      <c r="M49" s="18">
        <f t="shared" si="2"/>
        <v>0</v>
      </c>
    </row>
    <row r="50" s="3" customFormat="1" customHeight="1" spans="1:13">
      <c r="A50" s="36"/>
      <c r="B50" s="18" t="str">
        <f>IFERROR(VLOOKUP(A50,基础信息表!A:B,2,0),"")</f>
        <v/>
      </c>
      <c r="C50" s="14"/>
      <c r="D50" s="18" t="str">
        <f>IFERROR(VLOOKUP(C50,基础信息表!E:F,2,0),"")</f>
        <v/>
      </c>
      <c r="E50" s="14"/>
      <c r="F50" s="37"/>
      <c r="G50" s="37"/>
      <c r="H50" s="37"/>
      <c r="I50" s="37"/>
      <c r="J50" s="38"/>
      <c r="L50" s="18">
        <f>SUMIFS(成品出入库表!J:J,成品出入库表!H:H,BOM清单!A50)</f>
        <v>0</v>
      </c>
      <c r="M50" s="18">
        <f t="shared" si="2"/>
        <v>0</v>
      </c>
    </row>
    <row r="51" s="3" customFormat="1" customHeight="1" spans="1:13">
      <c r="A51" s="36"/>
      <c r="B51" s="18" t="str">
        <f>IFERROR(VLOOKUP(A51,基础信息表!A:B,2,0),"")</f>
        <v/>
      </c>
      <c r="C51" s="14"/>
      <c r="D51" s="18" t="str">
        <f>IFERROR(VLOOKUP(C51,基础信息表!E:F,2,0),"")</f>
        <v/>
      </c>
      <c r="E51" s="14"/>
      <c r="F51" s="37"/>
      <c r="G51" s="37"/>
      <c r="H51" s="37"/>
      <c r="I51" s="37"/>
      <c r="J51" s="38"/>
      <c r="L51" s="18">
        <f>SUMIFS(成品出入库表!J:J,成品出入库表!H:H,BOM清单!A51)</f>
        <v>0</v>
      </c>
      <c r="M51" s="18">
        <f t="shared" si="2"/>
        <v>0</v>
      </c>
    </row>
    <row r="52" s="3" customFormat="1" customHeight="1" spans="1:13">
      <c r="A52" s="36"/>
      <c r="B52" s="18" t="str">
        <f>IFERROR(VLOOKUP(A52,基础信息表!A:B,2,0),"")</f>
        <v/>
      </c>
      <c r="C52" s="14"/>
      <c r="D52" s="18" t="str">
        <f>IFERROR(VLOOKUP(C52,基础信息表!E:F,2,0),"")</f>
        <v/>
      </c>
      <c r="E52" s="14"/>
      <c r="F52" s="37"/>
      <c r="G52" s="37"/>
      <c r="H52" s="37"/>
      <c r="I52" s="37"/>
      <c r="J52" s="38"/>
      <c r="L52" s="18">
        <f>SUMIFS(成品出入库表!J:J,成品出入库表!H:H,BOM清单!A52)</f>
        <v>0</v>
      </c>
      <c r="M52" s="18">
        <f t="shared" si="2"/>
        <v>0</v>
      </c>
    </row>
    <row r="53" s="3" customFormat="1" customHeight="1" spans="1:13">
      <c r="A53" s="36"/>
      <c r="B53" s="18" t="str">
        <f>IFERROR(VLOOKUP(A53,基础信息表!A:B,2,0),"")</f>
        <v/>
      </c>
      <c r="C53" s="14"/>
      <c r="D53" s="18" t="str">
        <f>IFERROR(VLOOKUP(C53,基础信息表!E:F,2,0),"")</f>
        <v/>
      </c>
      <c r="E53" s="14"/>
      <c r="F53" s="37"/>
      <c r="G53" s="37"/>
      <c r="H53" s="37"/>
      <c r="I53" s="37"/>
      <c r="J53" s="38"/>
      <c r="L53" s="18">
        <f>SUMIFS(成品出入库表!J:J,成品出入库表!H:H,BOM清单!A53)</f>
        <v>0</v>
      </c>
      <c r="M53" s="18">
        <f t="shared" si="2"/>
        <v>0</v>
      </c>
    </row>
    <row r="54" s="3" customFormat="1" customHeight="1" spans="1:13">
      <c r="A54" s="36"/>
      <c r="B54" s="18" t="str">
        <f>IFERROR(VLOOKUP(A54,基础信息表!A:B,2,0),"")</f>
        <v/>
      </c>
      <c r="C54" s="14"/>
      <c r="D54" s="18" t="str">
        <f>IFERROR(VLOOKUP(C54,基础信息表!E:F,2,0),"")</f>
        <v/>
      </c>
      <c r="E54" s="14"/>
      <c r="F54" s="37"/>
      <c r="G54" s="37"/>
      <c r="H54" s="37"/>
      <c r="I54" s="37"/>
      <c r="J54" s="38"/>
      <c r="L54" s="18">
        <f>SUMIFS(成品出入库表!J:J,成品出入库表!H:H,BOM清单!A54)</f>
        <v>0</v>
      </c>
      <c r="M54" s="18">
        <f t="shared" si="2"/>
        <v>0</v>
      </c>
    </row>
    <row r="55" s="3" customFormat="1" customHeight="1" spans="1:13">
      <c r="A55" s="36"/>
      <c r="B55" s="18" t="str">
        <f>IFERROR(VLOOKUP(A55,基础信息表!A:B,2,0),"")</f>
        <v/>
      </c>
      <c r="C55" s="14"/>
      <c r="D55" s="18" t="str">
        <f>IFERROR(VLOOKUP(C55,基础信息表!E:F,2,0),"")</f>
        <v/>
      </c>
      <c r="E55" s="14"/>
      <c r="F55" s="37"/>
      <c r="G55" s="37"/>
      <c r="H55" s="37"/>
      <c r="I55" s="37"/>
      <c r="J55" s="38"/>
      <c r="L55" s="18">
        <f>SUMIFS(成品出入库表!J:J,成品出入库表!H:H,BOM清单!A55)</f>
        <v>0</v>
      </c>
      <c r="M55" s="18">
        <f t="shared" si="2"/>
        <v>0</v>
      </c>
    </row>
    <row r="56" s="3" customFormat="1" customHeight="1" spans="1:13">
      <c r="A56" s="36"/>
      <c r="B56" s="18" t="str">
        <f>IFERROR(VLOOKUP(A56,基础信息表!A:B,2,0),"")</f>
        <v/>
      </c>
      <c r="C56" s="14"/>
      <c r="D56" s="18" t="str">
        <f>IFERROR(VLOOKUP(C56,基础信息表!E:F,2,0),"")</f>
        <v/>
      </c>
      <c r="E56" s="14"/>
      <c r="F56" s="37"/>
      <c r="G56" s="37"/>
      <c r="H56" s="37"/>
      <c r="I56" s="37"/>
      <c r="J56" s="38"/>
      <c r="L56" s="18">
        <f>SUMIFS(成品出入库表!J:J,成品出入库表!H:H,BOM清单!A56)</f>
        <v>0</v>
      </c>
      <c r="M56" s="18">
        <f t="shared" si="2"/>
        <v>0</v>
      </c>
    </row>
    <row r="57" s="3" customFormat="1" customHeight="1" spans="1:13">
      <c r="A57" s="36"/>
      <c r="B57" s="18" t="str">
        <f>IFERROR(VLOOKUP(A57,基础信息表!A:B,2,0),"")</f>
        <v/>
      </c>
      <c r="C57" s="14"/>
      <c r="D57" s="18" t="str">
        <f>IFERROR(VLOOKUP(C57,基础信息表!E:F,2,0),"")</f>
        <v/>
      </c>
      <c r="E57" s="14"/>
      <c r="F57" s="37"/>
      <c r="G57" s="37"/>
      <c r="H57" s="37"/>
      <c r="I57" s="37"/>
      <c r="J57" s="38"/>
      <c r="L57" s="18">
        <f>SUMIFS(成品出入库表!J:J,成品出入库表!H:H,BOM清单!A57)</f>
        <v>0</v>
      </c>
      <c r="M57" s="18">
        <f t="shared" si="2"/>
        <v>0</v>
      </c>
    </row>
    <row r="58" s="3" customFormat="1" customHeight="1" spans="1:13">
      <c r="A58" s="36"/>
      <c r="B58" s="18" t="str">
        <f>IFERROR(VLOOKUP(A58,基础信息表!A:B,2,0),"")</f>
        <v/>
      </c>
      <c r="C58" s="14"/>
      <c r="D58" s="18" t="str">
        <f>IFERROR(VLOOKUP(C58,基础信息表!E:F,2,0),"")</f>
        <v/>
      </c>
      <c r="E58" s="14"/>
      <c r="F58" s="37"/>
      <c r="G58" s="37"/>
      <c r="H58" s="37"/>
      <c r="I58" s="37"/>
      <c r="J58" s="38"/>
      <c r="L58" s="18">
        <f>SUMIFS(成品出入库表!J:J,成品出入库表!H:H,BOM清单!A58)</f>
        <v>0</v>
      </c>
      <c r="M58" s="18">
        <f t="shared" si="2"/>
        <v>0</v>
      </c>
    </row>
    <row r="59" s="3" customFormat="1" customHeight="1" spans="1:13">
      <c r="A59" s="36"/>
      <c r="B59" s="18" t="str">
        <f>IFERROR(VLOOKUP(A59,基础信息表!A:B,2,0),"")</f>
        <v/>
      </c>
      <c r="C59" s="14"/>
      <c r="D59" s="18" t="str">
        <f>IFERROR(VLOOKUP(C59,基础信息表!E:F,2,0),"")</f>
        <v/>
      </c>
      <c r="E59" s="14"/>
      <c r="F59" s="37"/>
      <c r="G59" s="37"/>
      <c r="H59" s="37"/>
      <c r="I59" s="37"/>
      <c r="J59" s="38"/>
      <c r="L59" s="18">
        <f>SUMIFS(成品出入库表!J:J,成品出入库表!H:H,BOM清单!A59)</f>
        <v>0</v>
      </c>
      <c r="M59" s="18">
        <f t="shared" si="2"/>
        <v>0</v>
      </c>
    </row>
    <row r="60" s="3" customFormat="1" customHeight="1" spans="1:13">
      <c r="A60" s="36"/>
      <c r="B60" s="18" t="str">
        <f>IFERROR(VLOOKUP(A60,基础信息表!A:B,2,0),"")</f>
        <v/>
      </c>
      <c r="C60" s="14"/>
      <c r="D60" s="18" t="str">
        <f>IFERROR(VLOOKUP(C60,基础信息表!E:F,2,0),"")</f>
        <v/>
      </c>
      <c r="E60" s="14"/>
      <c r="F60" s="37"/>
      <c r="G60" s="37"/>
      <c r="H60" s="37"/>
      <c r="I60" s="37"/>
      <c r="J60" s="38"/>
      <c r="L60" s="18">
        <f>SUMIFS(成品出入库表!J:J,成品出入库表!H:H,BOM清单!A60)</f>
        <v>0</v>
      </c>
      <c r="M60" s="18">
        <f t="shared" si="2"/>
        <v>0</v>
      </c>
    </row>
    <row r="61" s="3" customFormat="1" customHeight="1" spans="1:13">
      <c r="A61" s="36"/>
      <c r="B61" s="18" t="str">
        <f>IFERROR(VLOOKUP(A61,基础信息表!A:B,2,0),"")</f>
        <v/>
      </c>
      <c r="C61" s="14"/>
      <c r="D61" s="18" t="str">
        <f>IFERROR(VLOOKUP(C61,基础信息表!E:F,2,0),"")</f>
        <v/>
      </c>
      <c r="E61" s="14"/>
      <c r="F61" s="37"/>
      <c r="G61" s="37"/>
      <c r="H61" s="37"/>
      <c r="I61" s="37"/>
      <c r="J61" s="38"/>
      <c r="L61" s="18">
        <f>SUMIFS(成品出入库表!J:J,成品出入库表!H:H,BOM清单!A61)</f>
        <v>0</v>
      </c>
      <c r="M61" s="18">
        <f t="shared" si="2"/>
        <v>0</v>
      </c>
    </row>
    <row r="62" s="3" customFormat="1" customHeight="1" spans="1:13">
      <c r="A62" s="36"/>
      <c r="B62" s="18" t="str">
        <f>IFERROR(VLOOKUP(A62,基础信息表!A:B,2,0),"")</f>
        <v/>
      </c>
      <c r="C62" s="14"/>
      <c r="D62" s="18" t="str">
        <f>IFERROR(VLOOKUP(C62,基础信息表!E:F,2,0),"")</f>
        <v/>
      </c>
      <c r="E62" s="14"/>
      <c r="F62" s="37"/>
      <c r="G62" s="37"/>
      <c r="H62" s="37"/>
      <c r="I62" s="37"/>
      <c r="J62" s="38"/>
      <c r="L62" s="18">
        <f>SUMIFS(成品出入库表!J:J,成品出入库表!H:H,BOM清单!A62)</f>
        <v>0</v>
      </c>
      <c r="M62" s="18">
        <f t="shared" si="2"/>
        <v>0</v>
      </c>
    </row>
    <row r="63" s="3" customFormat="1" customHeight="1" spans="1:13">
      <c r="A63" s="36"/>
      <c r="B63" s="18" t="str">
        <f>IFERROR(VLOOKUP(A63,基础信息表!A:B,2,0),"")</f>
        <v/>
      </c>
      <c r="C63" s="14"/>
      <c r="D63" s="18" t="str">
        <f>IFERROR(VLOOKUP(C63,基础信息表!E:F,2,0),"")</f>
        <v/>
      </c>
      <c r="E63" s="14"/>
      <c r="F63" s="37"/>
      <c r="G63" s="37"/>
      <c r="H63" s="37"/>
      <c r="I63" s="37"/>
      <c r="J63" s="38"/>
      <c r="L63" s="18">
        <f>SUMIFS(成品出入库表!J:J,成品出入库表!H:H,BOM清单!A63)</f>
        <v>0</v>
      </c>
      <c r="M63" s="18">
        <f t="shared" si="2"/>
        <v>0</v>
      </c>
    </row>
    <row r="64" s="3" customFormat="1" customHeight="1" spans="1:13">
      <c r="A64" s="36"/>
      <c r="B64" s="18" t="str">
        <f>IFERROR(VLOOKUP(A64,基础信息表!A:B,2,0),"")</f>
        <v/>
      </c>
      <c r="C64" s="14"/>
      <c r="D64" s="18" t="str">
        <f>IFERROR(VLOOKUP(C64,基础信息表!E:F,2,0),"")</f>
        <v/>
      </c>
      <c r="E64" s="14"/>
      <c r="F64" s="37"/>
      <c r="G64" s="37"/>
      <c r="H64" s="37"/>
      <c r="I64" s="37"/>
      <c r="J64" s="38"/>
      <c r="L64" s="18">
        <f>SUMIFS(成品出入库表!J:J,成品出入库表!H:H,BOM清单!A64)</f>
        <v>0</v>
      </c>
      <c r="M64" s="18">
        <f t="shared" si="2"/>
        <v>0</v>
      </c>
    </row>
    <row r="65" s="3" customFormat="1" customHeight="1" spans="1:13">
      <c r="A65" s="36"/>
      <c r="B65" s="18" t="str">
        <f>IFERROR(VLOOKUP(A65,基础信息表!A:B,2,0),"")</f>
        <v/>
      </c>
      <c r="C65" s="14"/>
      <c r="D65" s="18" t="str">
        <f>IFERROR(VLOOKUP(C65,基础信息表!E:F,2,0),"")</f>
        <v/>
      </c>
      <c r="E65" s="14"/>
      <c r="F65" s="37"/>
      <c r="G65" s="37"/>
      <c r="H65" s="37"/>
      <c r="I65" s="37"/>
      <c r="J65" s="38"/>
      <c r="L65" s="18">
        <f>SUMIFS(成品出入库表!J:J,成品出入库表!H:H,BOM清单!A65)</f>
        <v>0</v>
      </c>
      <c r="M65" s="18">
        <f t="shared" si="2"/>
        <v>0</v>
      </c>
    </row>
    <row r="66" s="3" customFormat="1" customHeight="1" spans="1:13">
      <c r="A66" s="36"/>
      <c r="B66" s="18" t="str">
        <f>IFERROR(VLOOKUP(A66,基础信息表!A:B,2,0),"")</f>
        <v/>
      </c>
      <c r="C66" s="14"/>
      <c r="D66" s="18" t="str">
        <f>IFERROR(VLOOKUP(C66,基础信息表!E:F,2,0),"")</f>
        <v/>
      </c>
      <c r="E66" s="14"/>
      <c r="F66" s="37"/>
      <c r="G66" s="37"/>
      <c r="H66" s="37"/>
      <c r="I66" s="37"/>
      <c r="J66" s="38"/>
      <c r="L66" s="18">
        <f>SUMIFS(成品出入库表!J:J,成品出入库表!H:H,BOM清单!A66)</f>
        <v>0</v>
      </c>
      <c r="M66" s="18">
        <f t="shared" si="2"/>
        <v>0</v>
      </c>
    </row>
    <row r="67" s="3" customFormat="1" customHeight="1" spans="1:13">
      <c r="A67" s="36"/>
      <c r="B67" s="18" t="str">
        <f>IFERROR(VLOOKUP(A67,基础信息表!A:B,2,0),"")</f>
        <v/>
      </c>
      <c r="C67" s="14"/>
      <c r="D67" s="18" t="str">
        <f>IFERROR(VLOOKUP(C67,基础信息表!E:F,2,0),"")</f>
        <v/>
      </c>
      <c r="E67" s="14"/>
      <c r="F67" s="37"/>
      <c r="G67" s="37"/>
      <c r="H67" s="37"/>
      <c r="I67" s="37"/>
      <c r="J67" s="38"/>
      <c r="L67" s="18">
        <f>SUMIFS(成品出入库表!J:J,成品出入库表!H:H,BOM清单!A67)</f>
        <v>0</v>
      </c>
      <c r="M67" s="18">
        <f t="shared" si="2"/>
        <v>0</v>
      </c>
    </row>
    <row r="68" s="3" customFormat="1" customHeight="1" spans="1:13">
      <c r="A68" s="36"/>
      <c r="B68" s="18" t="str">
        <f>IFERROR(VLOOKUP(A68,基础信息表!A:B,2,0),"")</f>
        <v/>
      </c>
      <c r="C68" s="14"/>
      <c r="D68" s="18" t="str">
        <f>IFERROR(VLOOKUP(C68,基础信息表!E:F,2,0),"")</f>
        <v/>
      </c>
      <c r="E68" s="14"/>
      <c r="F68" s="37"/>
      <c r="G68" s="37"/>
      <c r="H68" s="37"/>
      <c r="I68" s="37"/>
      <c r="J68" s="38"/>
      <c r="L68" s="18">
        <f>SUMIFS(成品出入库表!J:J,成品出入库表!H:H,BOM清单!A68)</f>
        <v>0</v>
      </c>
      <c r="M68" s="18">
        <f t="shared" ref="M68:M131" si="3">L68*E68</f>
        <v>0</v>
      </c>
    </row>
    <row r="69" s="3" customFormat="1" customHeight="1" spans="1:13">
      <c r="A69" s="36"/>
      <c r="B69" s="18" t="str">
        <f>IFERROR(VLOOKUP(A69,基础信息表!A:B,2,0),"")</f>
        <v/>
      </c>
      <c r="C69" s="14"/>
      <c r="D69" s="18" t="str">
        <f>IFERROR(VLOOKUP(C69,基础信息表!E:F,2,0),"")</f>
        <v/>
      </c>
      <c r="E69" s="14"/>
      <c r="F69" s="37"/>
      <c r="G69" s="37"/>
      <c r="H69" s="37"/>
      <c r="I69" s="37"/>
      <c r="J69" s="38"/>
      <c r="L69" s="18">
        <f>SUMIFS(成品出入库表!J:J,成品出入库表!H:H,BOM清单!A69)</f>
        <v>0</v>
      </c>
      <c r="M69" s="18">
        <f t="shared" si="3"/>
        <v>0</v>
      </c>
    </row>
    <row r="70" s="3" customFormat="1" customHeight="1" spans="1:13">
      <c r="A70" s="36"/>
      <c r="B70" s="18" t="str">
        <f>IFERROR(VLOOKUP(A70,基础信息表!A:B,2,0),"")</f>
        <v/>
      </c>
      <c r="C70" s="14"/>
      <c r="D70" s="18" t="str">
        <f>IFERROR(VLOOKUP(C70,基础信息表!E:F,2,0),"")</f>
        <v/>
      </c>
      <c r="E70" s="14"/>
      <c r="F70" s="37"/>
      <c r="G70" s="37"/>
      <c r="H70" s="37"/>
      <c r="I70" s="37"/>
      <c r="J70" s="38"/>
      <c r="L70" s="18">
        <f>SUMIFS(成品出入库表!J:J,成品出入库表!H:H,BOM清单!A70)</f>
        <v>0</v>
      </c>
      <c r="M70" s="18">
        <f t="shared" si="3"/>
        <v>0</v>
      </c>
    </row>
    <row r="71" s="3" customFormat="1" customHeight="1" spans="1:13">
      <c r="A71" s="36"/>
      <c r="B71" s="18" t="str">
        <f>IFERROR(VLOOKUP(A71,基础信息表!A:B,2,0),"")</f>
        <v/>
      </c>
      <c r="C71" s="14"/>
      <c r="D71" s="18" t="str">
        <f>IFERROR(VLOOKUP(C71,基础信息表!E:F,2,0),"")</f>
        <v/>
      </c>
      <c r="E71" s="14"/>
      <c r="F71" s="37"/>
      <c r="G71" s="37"/>
      <c r="H71" s="37"/>
      <c r="I71" s="37"/>
      <c r="J71" s="38"/>
      <c r="L71" s="18">
        <f>SUMIFS(成品出入库表!J:J,成品出入库表!H:H,BOM清单!A71)</f>
        <v>0</v>
      </c>
      <c r="M71" s="18">
        <f t="shared" si="3"/>
        <v>0</v>
      </c>
    </row>
    <row r="72" s="3" customFormat="1" customHeight="1" spans="1:13">
      <c r="A72" s="36"/>
      <c r="B72" s="18" t="str">
        <f>IFERROR(VLOOKUP(A72,基础信息表!A:B,2,0),"")</f>
        <v/>
      </c>
      <c r="C72" s="14"/>
      <c r="D72" s="18" t="str">
        <f>IFERROR(VLOOKUP(C72,基础信息表!E:F,2,0),"")</f>
        <v/>
      </c>
      <c r="E72" s="14"/>
      <c r="F72" s="37"/>
      <c r="G72" s="37"/>
      <c r="H72" s="37"/>
      <c r="I72" s="37"/>
      <c r="J72" s="38"/>
      <c r="L72" s="18">
        <f>SUMIFS(成品出入库表!J:J,成品出入库表!H:H,BOM清单!A72)</f>
        <v>0</v>
      </c>
      <c r="M72" s="18">
        <f t="shared" si="3"/>
        <v>0</v>
      </c>
    </row>
    <row r="73" s="3" customFormat="1" customHeight="1" spans="1:13">
      <c r="A73" s="36"/>
      <c r="B73" s="18" t="str">
        <f>IFERROR(VLOOKUP(A73,基础信息表!A:B,2,0),"")</f>
        <v/>
      </c>
      <c r="C73" s="14"/>
      <c r="D73" s="18" t="str">
        <f>IFERROR(VLOOKUP(C73,基础信息表!E:F,2,0),"")</f>
        <v/>
      </c>
      <c r="E73" s="14"/>
      <c r="F73" s="37"/>
      <c r="G73" s="37"/>
      <c r="H73" s="37"/>
      <c r="I73" s="37"/>
      <c r="J73" s="38"/>
      <c r="L73" s="18">
        <f>SUMIFS(成品出入库表!J:J,成品出入库表!H:H,BOM清单!A73)</f>
        <v>0</v>
      </c>
      <c r="M73" s="18">
        <f t="shared" si="3"/>
        <v>0</v>
      </c>
    </row>
    <row r="74" s="3" customFormat="1" customHeight="1" spans="1:13">
      <c r="A74" s="36"/>
      <c r="B74" s="18" t="str">
        <f>IFERROR(VLOOKUP(A74,基础信息表!A:B,2,0),"")</f>
        <v/>
      </c>
      <c r="C74" s="14"/>
      <c r="D74" s="18" t="str">
        <f>IFERROR(VLOOKUP(C74,基础信息表!E:F,2,0),"")</f>
        <v/>
      </c>
      <c r="E74" s="14"/>
      <c r="F74" s="37"/>
      <c r="G74" s="37"/>
      <c r="H74" s="37"/>
      <c r="I74" s="37"/>
      <c r="J74" s="38"/>
      <c r="L74" s="18">
        <f>SUMIFS(成品出入库表!J:J,成品出入库表!H:H,BOM清单!A74)</f>
        <v>0</v>
      </c>
      <c r="M74" s="18">
        <f t="shared" si="3"/>
        <v>0</v>
      </c>
    </row>
    <row r="75" s="3" customFormat="1" customHeight="1" spans="1:13">
      <c r="A75" s="36"/>
      <c r="B75" s="18" t="str">
        <f>IFERROR(VLOOKUP(A75,基础信息表!A:B,2,0),"")</f>
        <v/>
      </c>
      <c r="C75" s="14"/>
      <c r="D75" s="18" t="str">
        <f>IFERROR(VLOOKUP(C75,基础信息表!E:F,2,0),"")</f>
        <v/>
      </c>
      <c r="E75" s="14"/>
      <c r="F75" s="37"/>
      <c r="G75" s="37"/>
      <c r="H75" s="37"/>
      <c r="I75" s="37"/>
      <c r="J75" s="38"/>
      <c r="L75" s="18">
        <f>SUMIFS(成品出入库表!J:J,成品出入库表!H:H,BOM清单!A75)</f>
        <v>0</v>
      </c>
      <c r="M75" s="18">
        <f t="shared" si="3"/>
        <v>0</v>
      </c>
    </row>
    <row r="76" s="3" customFormat="1" customHeight="1" spans="1:13">
      <c r="A76" s="36"/>
      <c r="B76" s="18" t="str">
        <f>IFERROR(VLOOKUP(A76,基础信息表!A:B,2,0),"")</f>
        <v/>
      </c>
      <c r="C76" s="14"/>
      <c r="D76" s="18" t="str">
        <f>IFERROR(VLOOKUP(C76,基础信息表!E:F,2,0),"")</f>
        <v/>
      </c>
      <c r="E76" s="14"/>
      <c r="F76" s="37"/>
      <c r="G76" s="37"/>
      <c r="H76" s="37"/>
      <c r="I76" s="37"/>
      <c r="J76" s="38"/>
      <c r="L76" s="18">
        <f>SUMIFS(成品出入库表!J:J,成品出入库表!H:H,BOM清单!A76)</f>
        <v>0</v>
      </c>
      <c r="M76" s="18">
        <f t="shared" si="3"/>
        <v>0</v>
      </c>
    </row>
    <row r="77" s="3" customFormat="1" customHeight="1" spans="1:13">
      <c r="A77" s="36"/>
      <c r="B77" s="18" t="str">
        <f>IFERROR(VLOOKUP(A77,基础信息表!A:B,2,0),"")</f>
        <v/>
      </c>
      <c r="C77" s="14"/>
      <c r="D77" s="18" t="str">
        <f>IFERROR(VLOOKUP(C77,基础信息表!E:F,2,0),"")</f>
        <v/>
      </c>
      <c r="E77" s="14"/>
      <c r="F77" s="37"/>
      <c r="G77" s="37"/>
      <c r="H77" s="37"/>
      <c r="I77" s="37"/>
      <c r="J77" s="38"/>
      <c r="L77" s="18">
        <f>SUMIFS(成品出入库表!J:J,成品出入库表!H:H,BOM清单!A77)</f>
        <v>0</v>
      </c>
      <c r="M77" s="18">
        <f t="shared" si="3"/>
        <v>0</v>
      </c>
    </row>
    <row r="78" s="3" customFormat="1" customHeight="1" spans="1:13">
      <c r="A78" s="36"/>
      <c r="B78" s="18" t="str">
        <f>IFERROR(VLOOKUP(A78,基础信息表!A:B,2,0),"")</f>
        <v/>
      </c>
      <c r="C78" s="14"/>
      <c r="D78" s="18" t="str">
        <f>IFERROR(VLOOKUP(C78,基础信息表!E:F,2,0),"")</f>
        <v/>
      </c>
      <c r="E78" s="14"/>
      <c r="F78" s="37"/>
      <c r="G78" s="37"/>
      <c r="H78" s="37"/>
      <c r="I78" s="37"/>
      <c r="J78" s="38"/>
      <c r="L78" s="18">
        <f>SUMIFS(成品出入库表!J:J,成品出入库表!H:H,BOM清单!A78)</f>
        <v>0</v>
      </c>
      <c r="M78" s="18">
        <f t="shared" si="3"/>
        <v>0</v>
      </c>
    </row>
    <row r="79" s="3" customFormat="1" customHeight="1" spans="1:13">
      <c r="A79" s="36"/>
      <c r="B79" s="18" t="str">
        <f>IFERROR(VLOOKUP(A79,基础信息表!A:B,2,0),"")</f>
        <v/>
      </c>
      <c r="C79" s="14"/>
      <c r="D79" s="18" t="str">
        <f>IFERROR(VLOOKUP(C79,基础信息表!E:F,2,0),"")</f>
        <v/>
      </c>
      <c r="E79" s="14"/>
      <c r="F79" s="37"/>
      <c r="G79" s="37"/>
      <c r="H79" s="37"/>
      <c r="I79" s="37"/>
      <c r="J79" s="38"/>
      <c r="L79" s="18">
        <f>SUMIFS(成品出入库表!J:J,成品出入库表!H:H,BOM清单!A79)</f>
        <v>0</v>
      </c>
      <c r="M79" s="18">
        <f t="shared" si="3"/>
        <v>0</v>
      </c>
    </row>
    <row r="80" s="3" customFormat="1" customHeight="1" spans="1:13">
      <c r="A80" s="36"/>
      <c r="B80" s="18" t="str">
        <f>IFERROR(VLOOKUP(A80,基础信息表!A:B,2,0),"")</f>
        <v/>
      </c>
      <c r="C80" s="14"/>
      <c r="D80" s="18" t="str">
        <f>IFERROR(VLOOKUP(C80,基础信息表!E:F,2,0),"")</f>
        <v/>
      </c>
      <c r="E80" s="14"/>
      <c r="F80" s="37"/>
      <c r="G80" s="37"/>
      <c r="H80" s="37"/>
      <c r="I80" s="37"/>
      <c r="J80" s="38"/>
      <c r="L80" s="18">
        <f>SUMIFS(成品出入库表!J:J,成品出入库表!H:H,BOM清单!A80)</f>
        <v>0</v>
      </c>
      <c r="M80" s="18">
        <f t="shared" si="3"/>
        <v>0</v>
      </c>
    </row>
    <row r="81" s="3" customFormat="1" customHeight="1" spans="1:13">
      <c r="A81" s="36"/>
      <c r="B81" s="18" t="str">
        <f>IFERROR(VLOOKUP(A81,基础信息表!A:B,2,0),"")</f>
        <v/>
      </c>
      <c r="C81" s="14"/>
      <c r="D81" s="18" t="str">
        <f>IFERROR(VLOOKUP(C81,基础信息表!E:F,2,0),"")</f>
        <v/>
      </c>
      <c r="E81" s="14"/>
      <c r="F81" s="37"/>
      <c r="G81" s="37"/>
      <c r="H81" s="37"/>
      <c r="I81" s="37"/>
      <c r="J81" s="38"/>
      <c r="L81" s="18">
        <f>SUMIFS(成品出入库表!J:J,成品出入库表!H:H,BOM清单!A81)</f>
        <v>0</v>
      </c>
      <c r="M81" s="18">
        <f t="shared" si="3"/>
        <v>0</v>
      </c>
    </row>
    <row r="82" s="3" customFormat="1" customHeight="1" spans="1:13">
      <c r="A82" s="36"/>
      <c r="B82" s="18" t="str">
        <f>IFERROR(VLOOKUP(A82,基础信息表!A:B,2,0),"")</f>
        <v/>
      </c>
      <c r="C82" s="14"/>
      <c r="D82" s="18" t="str">
        <f>IFERROR(VLOOKUP(C82,基础信息表!E:F,2,0),"")</f>
        <v/>
      </c>
      <c r="E82" s="14"/>
      <c r="F82" s="37"/>
      <c r="G82" s="37"/>
      <c r="H82" s="37"/>
      <c r="I82" s="37"/>
      <c r="J82" s="38"/>
      <c r="L82" s="18">
        <f>SUMIFS(成品出入库表!J:J,成品出入库表!H:H,BOM清单!A82)</f>
        <v>0</v>
      </c>
      <c r="M82" s="18">
        <f t="shared" si="3"/>
        <v>0</v>
      </c>
    </row>
    <row r="83" s="3" customFormat="1" customHeight="1" spans="1:13">
      <c r="A83" s="36"/>
      <c r="B83" s="18" t="str">
        <f>IFERROR(VLOOKUP(A83,基础信息表!A:B,2,0),"")</f>
        <v/>
      </c>
      <c r="C83" s="14"/>
      <c r="D83" s="18" t="str">
        <f>IFERROR(VLOOKUP(C83,基础信息表!E:F,2,0),"")</f>
        <v/>
      </c>
      <c r="E83" s="14"/>
      <c r="F83" s="37"/>
      <c r="G83" s="37"/>
      <c r="H83" s="37"/>
      <c r="I83" s="37"/>
      <c r="J83" s="38"/>
      <c r="L83" s="18">
        <f>SUMIFS(成品出入库表!J:J,成品出入库表!H:H,BOM清单!A83)</f>
        <v>0</v>
      </c>
      <c r="M83" s="18">
        <f t="shared" si="3"/>
        <v>0</v>
      </c>
    </row>
    <row r="84" s="3" customFormat="1" customHeight="1" spans="1:13">
      <c r="A84" s="36"/>
      <c r="B84" s="18" t="str">
        <f>IFERROR(VLOOKUP(A84,基础信息表!A:B,2,0),"")</f>
        <v/>
      </c>
      <c r="C84" s="14"/>
      <c r="D84" s="18" t="str">
        <f>IFERROR(VLOOKUP(C84,基础信息表!E:F,2,0),"")</f>
        <v/>
      </c>
      <c r="E84" s="14"/>
      <c r="F84" s="37"/>
      <c r="G84" s="37"/>
      <c r="H84" s="37"/>
      <c r="I84" s="37"/>
      <c r="J84" s="38"/>
      <c r="L84" s="18">
        <f>SUMIFS(成品出入库表!J:J,成品出入库表!H:H,BOM清单!A84)</f>
        <v>0</v>
      </c>
      <c r="M84" s="18">
        <f t="shared" si="3"/>
        <v>0</v>
      </c>
    </row>
    <row r="85" s="3" customFormat="1" customHeight="1" spans="1:13">
      <c r="A85" s="36"/>
      <c r="B85" s="18" t="str">
        <f>IFERROR(VLOOKUP(A85,基础信息表!A:B,2,0),"")</f>
        <v/>
      </c>
      <c r="C85" s="14"/>
      <c r="D85" s="18" t="str">
        <f>IFERROR(VLOOKUP(C85,基础信息表!E:F,2,0),"")</f>
        <v/>
      </c>
      <c r="E85" s="14"/>
      <c r="F85" s="37"/>
      <c r="G85" s="37"/>
      <c r="H85" s="37"/>
      <c r="I85" s="37"/>
      <c r="J85" s="38"/>
      <c r="L85" s="18">
        <f>SUMIFS(成品出入库表!J:J,成品出入库表!H:H,BOM清单!A85)</f>
        <v>0</v>
      </c>
      <c r="M85" s="18">
        <f t="shared" si="3"/>
        <v>0</v>
      </c>
    </row>
    <row r="86" s="3" customFormat="1" customHeight="1" spans="1:13">
      <c r="A86" s="36"/>
      <c r="B86" s="18" t="str">
        <f>IFERROR(VLOOKUP(A86,基础信息表!A:B,2,0),"")</f>
        <v/>
      </c>
      <c r="C86" s="14"/>
      <c r="D86" s="18" t="str">
        <f>IFERROR(VLOOKUP(C86,基础信息表!E:F,2,0),"")</f>
        <v/>
      </c>
      <c r="E86" s="14"/>
      <c r="F86" s="37"/>
      <c r="G86" s="37"/>
      <c r="H86" s="37"/>
      <c r="I86" s="37"/>
      <c r="J86" s="38"/>
      <c r="L86" s="18">
        <f>SUMIFS(成品出入库表!J:J,成品出入库表!H:H,BOM清单!A86)</f>
        <v>0</v>
      </c>
      <c r="M86" s="18">
        <f t="shared" si="3"/>
        <v>0</v>
      </c>
    </row>
    <row r="87" s="3" customFormat="1" customHeight="1" spans="1:13">
      <c r="A87" s="36"/>
      <c r="B87" s="18" t="str">
        <f>IFERROR(VLOOKUP(A87,基础信息表!A:B,2,0),"")</f>
        <v/>
      </c>
      <c r="C87" s="14"/>
      <c r="D87" s="18" t="str">
        <f>IFERROR(VLOOKUP(C87,基础信息表!E:F,2,0),"")</f>
        <v/>
      </c>
      <c r="E87" s="14"/>
      <c r="F87" s="37"/>
      <c r="G87" s="37"/>
      <c r="H87" s="37"/>
      <c r="I87" s="37"/>
      <c r="J87" s="38"/>
      <c r="L87" s="18">
        <f>SUMIFS(成品出入库表!J:J,成品出入库表!H:H,BOM清单!A87)</f>
        <v>0</v>
      </c>
      <c r="M87" s="18">
        <f t="shared" si="3"/>
        <v>0</v>
      </c>
    </row>
    <row r="88" s="3" customFormat="1" customHeight="1" spans="1:13">
      <c r="A88" s="36"/>
      <c r="B88" s="18" t="str">
        <f>IFERROR(VLOOKUP(A88,基础信息表!A:B,2,0),"")</f>
        <v/>
      </c>
      <c r="C88" s="14"/>
      <c r="D88" s="18" t="str">
        <f>IFERROR(VLOOKUP(C88,基础信息表!E:F,2,0),"")</f>
        <v/>
      </c>
      <c r="E88" s="14"/>
      <c r="F88" s="37"/>
      <c r="G88" s="37"/>
      <c r="H88" s="37"/>
      <c r="I88" s="37"/>
      <c r="J88" s="38"/>
      <c r="L88" s="18">
        <f>SUMIFS(成品出入库表!J:J,成品出入库表!H:H,BOM清单!A88)</f>
        <v>0</v>
      </c>
      <c r="M88" s="18">
        <f t="shared" si="3"/>
        <v>0</v>
      </c>
    </row>
    <row r="89" s="3" customFormat="1" customHeight="1" spans="1:13">
      <c r="A89" s="36"/>
      <c r="B89" s="18" t="str">
        <f>IFERROR(VLOOKUP(A89,基础信息表!A:B,2,0),"")</f>
        <v/>
      </c>
      <c r="C89" s="14"/>
      <c r="D89" s="18" t="str">
        <f>IFERROR(VLOOKUP(C89,基础信息表!E:F,2,0),"")</f>
        <v/>
      </c>
      <c r="E89" s="14"/>
      <c r="F89" s="37"/>
      <c r="G89" s="37"/>
      <c r="H89" s="37"/>
      <c r="I89" s="37"/>
      <c r="J89" s="38"/>
      <c r="L89" s="18">
        <f>SUMIFS(成品出入库表!J:J,成品出入库表!H:H,BOM清单!A89)</f>
        <v>0</v>
      </c>
      <c r="M89" s="18">
        <f t="shared" si="3"/>
        <v>0</v>
      </c>
    </row>
    <row r="90" s="3" customFormat="1" customHeight="1" spans="1:13">
      <c r="A90" s="36"/>
      <c r="B90" s="18" t="str">
        <f>IFERROR(VLOOKUP(A90,基础信息表!A:B,2,0),"")</f>
        <v/>
      </c>
      <c r="C90" s="14"/>
      <c r="D90" s="18" t="str">
        <f>IFERROR(VLOOKUP(C90,基础信息表!E:F,2,0),"")</f>
        <v/>
      </c>
      <c r="E90" s="14"/>
      <c r="F90" s="37"/>
      <c r="G90" s="37"/>
      <c r="H90" s="37"/>
      <c r="I90" s="37"/>
      <c r="J90" s="38"/>
      <c r="L90" s="18">
        <f>SUMIFS(成品出入库表!J:J,成品出入库表!H:H,BOM清单!A90)</f>
        <v>0</v>
      </c>
      <c r="M90" s="18">
        <f t="shared" si="3"/>
        <v>0</v>
      </c>
    </row>
    <row r="91" s="3" customFormat="1" customHeight="1" spans="1:13">
      <c r="A91" s="36"/>
      <c r="B91" s="18" t="str">
        <f>IFERROR(VLOOKUP(A91,基础信息表!A:B,2,0),"")</f>
        <v/>
      </c>
      <c r="C91" s="14"/>
      <c r="D91" s="18" t="str">
        <f>IFERROR(VLOOKUP(C91,基础信息表!E:F,2,0),"")</f>
        <v/>
      </c>
      <c r="E91" s="14"/>
      <c r="F91" s="37"/>
      <c r="G91" s="37"/>
      <c r="H91" s="37"/>
      <c r="I91" s="37"/>
      <c r="J91" s="38"/>
      <c r="L91" s="18">
        <f>SUMIFS(成品出入库表!J:J,成品出入库表!H:H,BOM清单!A91)</f>
        <v>0</v>
      </c>
      <c r="M91" s="18">
        <f t="shared" si="3"/>
        <v>0</v>
      </c>
    </row>
    <row r="92" s="3" customFormat="1" customHeight="1" spans="1:13">
      <c r="A92" s="36"/>
      <c r="B92" s="18" t="str">
        <f>IFERROR(VLOOKUP(A92,基础信息表!A:B,2,0),"")</f>
        <v/>
      </c>
      <c r="C92" s="14"/>
      <c r="D92" s="18" t="str">
        <f>IFERROR(VLOOKUP(C92,基础信息表!E:F,2,0),"")</f>
        <v/>
      </c>
      <c r="E92" s="14"/>
      <c r="F92" s="37"/>
      <c r="G92" s="37"/>
      <c r="H92" s="37"/>
      <c r="I92" s="37"/>
      <c r="J92" s="38"/>
      <c r="L92" s="18">
        <f>SUMIFS(成品出入库表!J:J,成品出入库表!H:H,BOM清单!A92)</f>
        <v>0</v>
      </c>
      <c r="M92" s="18">
        <f t="shared" si="3"/>
        <v>0</v>
      </c>
    </row>
    <row r="93" s="3" customFormat="1" customHeight="1" spans="1:13">
      <c r="A93" s="36"/>
      <c r="B93" s="18" t="str">
        <f>IFERROR(VLOOKUP(A93,基础信息表!A:B,2,0),"")</f>
        <v/>
      </c>
      <c r="C93" s="14"/>
      <c r="D93" s="18" t="str">
        <f>IFERROR(VLOOKUP(C93,基础信息表!E:F,2,0),"")</f>
        <v/>
      </c>
      <c r="E93" s="14"/>
      <c r="F93" s="37"/>
      <c r="G93" s="37"/>
      <c r="H93" s="37"/>
      <c r="I93" s="37"/>
      <c r="J93" s="38"/>
      <c r="L93" s="18">
        <f>SUMIFS(成品出入库表!J:J,成品出入库表!H:H,BOM清单!A93)</f>
        <v>0</v>
      </c>
      <c r="M93" s="18">
        <f t="shared" si="3"/>
        <v>0</v>
      </c>
    </row>
    <row r="94" s="3" customFormat="1" customHeight="1" spans="1:13">
      <c r="A94" s="36"/>
      <c r="B94" s="18" t="str">
        <f>IFERROR(VLOOKUP(A94,基础信息表!A:B,2,0),"")</f>
        <v/>
      </c>
      <c r="C94" s="14"/>
      <c r="D94" s="18" t="str">
        <f>IFERROR(VLOOKUP(C94,基础信息表!E:F,2,0),"")</f>
        <v/>
      </c>
      <c r="E94" s="14"/>
      <c r="F94" s="37"/>
      <c r="G94" s="37"/>
      <c r="H94" s="37"/>
      <c r="I94" s="37"/>
      <c r="J94" s="38"/>
      <c r="L94" s="18">
        <f>SUMIFS(成品出入库表!J:J,成品出入库表!H:H,BOM清单!A94)</f>
        <v>0</v>
      </c>
      <c r="M94" s="18">
        <f t="shared" si="3"/>
        <v>0</v>
      </c>
    </row>
    <row r="95" s="3" customFormat="1" customHeight="1" spans="1:13">
      <c r="A95" s="36"/>
      <c r="B95" s="18" t="str">
        <f>IFERROR(VLOOKUP(A95,基础信息表!A:B,2,0),"")</f>
        <v/>
      </c>
      <c r="C95" s="14"/>
      <c r="D95" s="18" t="str">
        <f>IFERROR(VLOOKUP(C95,基础信息表!E:F,2,0),"")</f>
        <v/>
      </c>
      <c r="E95" s="14"/>
      <c r="F95" s="37"/>
      <c r="G95" s="37"/>
      <c r="H95" s="37"/>
      <c r="I95" s="37"/>
      <c r="J95" s="38"/>
      <c r="L95" s="18">
        <f>SUMIFS(成品出入库表!J:J,成品出入库表!H:H,BOM清单!A95)</f>
        <v>0</v>
      </c>
      <c r="M95" s="18">
        <f t="shared" si="3"/>
        <v>0</v>
      </c>
    </row>
    <row r="96" s="3" customFormat="1" customHeight="1" spans="1:13">
      <c r="A96" s="36"/>
      <c r="B96" s="18" t="str">
        <f>IFERROR(VLOOKUP(A96,基础信息表!A:B,2,0),"")</f>
        <v/>
      </c>
      <c r="C96" s="14"/>
      <c r="D96" s="18" t="str">
        <f>IFERROR(VLOOKUP(C96,基础信息表!E:F,2,0),"")</f>
        <v/>
      </c>
      <c r="E96" s="14"/>
      <c r="F96" s="37"/>
      <c r="G96" s="37"/>
      <c r="H96" s="37"/>
      <c r="I96" s="37"/>
      <c r="J96" s="38"/>
      <c r="L96" s="18">
        <f>SUMIFS(成品出入库表!J:J,成品出入库表!H:H,BOM清单!A96)</f>
        <v>0</v>
      </c>
      <c r="M96" s="18">
        <f t="shared" si="3"/>
        <v>0</v>
      </c>
    </row>
    <row r="97" s="3" customFormat="1" customHeight="1" spans="1:13">
      <c r="A97" s="36"/>
      <c r="B97" s="18" t="str">
        <f>IFERROR(VLOOKUP(A97,基础信息表!A:B,2,0),"")</f>
        <v/>
      </c>
      <c r="C97" s="14"/>
      <c r="D97" s="18" t="str">
        <f>IFERROR(VLOOKUP(C97,基础信息表!E:F,2,0),"")</f>
        <v/>
      </c>
      <c r="E97" s="14"/>
      <c r="F97" s="37"/>
      <c r="G97" s="37"/>
      <c r="H97" s="37"/>
      <c r="I97" s="37"/>
      <c r="J97" s="38"/>
      <c r="L97" s="18">
        <f>SUMIFS(成品出入库表!J:J,成品出入库表!H:H,BOM清单!A97)</f>
        <v>0</v>
      </c>
      <c r="M97" s="18">
        <f t="shared" si="3"/>
        <v>0</v>
      </c>
    </row>
    <row r="98" s="3" customFormat="1" customHeight="1" spans="1:13">
      <c r="A98" s="36"/>
      <c r="B98" s="18" t="str">
        <f>IFERROR(VLOOKUP(A98,基础信息表!A:B,2,0),"")</f>
        <v/>
      </c>
      <c r="C98" s="14"/>
      <c r="D98" s="18" t="str">
        <f>IFERROR(VLOOKUP(C98,基础信息表!E:F,2,0),"")</f>
        <v/>
      </c>
      <c r="E98" s="14"/>
      <c r="F98" s="37"/>
      <c r="G98" s="37"/>
      <c r="H98" s="37"/>
      <c r="I98" s="37"/>
      <c r="J98" s="38"/>
      <c r="L98" s="18">
        <f>SUMIFS(成品出入库表!J:J,成品出入库表!H:H,BOM清单!A98)</f>
        <v>0</v>
      </c>
      <c r="M98" s="18">
        <f t="shared" si="3"/>
        <v>0</v>
      </c>
    </row>
    <row r="99" s="3" customFormat="1" customHeight="1" spans="1:13">
      <c r="A99" s="36"/>
      <c r="B99" s="18" t="str">
        <f>IFERROR(VLOOKUP(A99,基础信息表!A:B,2,0),"")</f>
        <v/>
      </c>
      <c r="C99" s="14"/>
      <c r="D99" s="18" t="str">
        <f>IFERROR(VLOOKUP(C99,基础信息表!E:F,2,0),"")</f>
        <v/>
      </c>
      <c r="E99" s="14"/>
      <c r="F99" s="37"/>
      <c r="G99" s="37"/>
      <c r="H99" s="37"/>
      <c r="I99" s="37"/>
      <c r="J99" s="38"/>
      <c r="L99" s="18">
        <f>SUMIFS(成品出入库表!J:J,成品出入库表!H:H,BOM清单!A99)</f>
        <v>0</v>
      </c>
      <c r="M99" s="18">
        <f t="shared" si="3"/>
        <v>0</v>
      </c>
    </row>
    <row r="100" s="3" customFormat="1" customHeight="1" spans="1:13">
      <c r="A100" s="36"/>
      <c r="B100" s="18" t="str">
        <f>IFERROR(VLOOKUP(A100,基础信息表!A:B,2,0),"")</f>
        <v/>
      </c>
      <c r="C100" s="14"/>
      <c r="D100" s="18" t="str">
        <f>IFERROR(VLOOKUP(C100,基础信息表!E:F,2,0),"")</f>
        <v/>
      </c>
      <c r="E100" s="14"/>
      <c r="F100" s="37"/>
      <c r="G100" s="37"/>
      <c r="H100" s="37"/>
      <c r="I100" s="37"/>
      <c r="J100" s="38"/>
      <c r="L100" s="18">
        <f>SUMIFS(成品出入库表!J:J,成品出入库表!H:H,BOM清单!A100)</f>
        <v>0</v>
      </c>
      <c r="M100" s="18">
        <f t="shared" si="3"/>
        <v>0</v>
      </c>
    </row>
    <row r="101" s="3" customFormat="1" customHeight="1" spans="1:13">
      <c r="A101" s="36"/>
      <c r="B101" s="18" t="str">
        <f>IFERROR(VLOOKUP(A101,基础信息表!A:B,2,0),"")</f>
        <v/>
      </c>
      <c r="C101" s="14"/>
      <c r="D101" s="18" t="str">
        <f>IFERROR(VLOOKUP(C101,基础信息表!E:F,2,0),"")</f>
        <v/>
      </c>
      <c r="E101" s="14"/>
      <c r="F101" s="37"/>
      <c r="G101" s="37"/>
      <c r="H101" s="37"/>
      <c r="I101" s="37"/>
      <c r="J101" s="38"/>
      <c r="L101" s="18">
        <f>SUMIFS(成品出入库表!J:J,成品出入库表!H:H,BOM清单!A101)</f>
        <v>0</v>
      </c>
      <c r="M101" s="18">
        <f t="shared" si="3"/>
        <v>0</v>
      </c>
    </row>
    <row r="102" s="3" customFormat="1" customHeight="1" spans="1:13">
      <c r="A102" s="36"/>
      <c r="B102" s="18" t="str">
        <f>IFERROR(VLOOKUP(A102,基础信息表!A:B,2,0),"")</f>
        <v/>
      </c>
      <c r="C102" s="14"/>
      <c r="D102" s="18" t="str">
        <f>IFERROR(VLOOKUP(C102,基础信息表!E:F,2,0),"")</f>
        <v/>
      </c>
      <c r="E102" s="14"/>
      <c r="F102" s="37"/>
      <c r="G102" s="37"/>
      <c r="H102" s="37"/>
      <c r="I102" s="37"/>
      <c r="J102" s="38"/>
      <c r="L102" s="18">
        <f>SUMIFS(成品出入库表!J:J,成品出入库表!H:H,BOM清单!A102)</f>
        <v>0</v>
      </c>
      <c r="M102" s="18">
        <f t="shared" si="3"/>
        <v>0</v>
      </c>
    </row>
    <row r="103" s="3" customFormat="1" customHeight="1" spans="1:13">
      <c r="A103" s="36"/>
      <c r="B103" s="18" t="str">
        <f>IFERROR(VLOOKUP(A103,基础信息表!A:B,2,0),"")</f>
        <v/>
      </c>
      <c r="C103" s="14"/>
      <c r="D103" s="18" t="str">
        <f>IFERROR(VLOOKUP(C103,基础信息表!E:F,2,0),"")</f>
        <v/>
      </c>
      <c r="E103" s="14"/>
      <c r="F103" s="37"/>
      <c r="G103" s="37"/>
      <c r="H103" s="37"/>
      <c r="I103" s="37"/>
      <c r="J103" s="38"/>
      <c r="L103" s="18">
        <f>SUMIFS(成品出入库表!J:J,成品出入库表!H:H,BOM清单!A103)</f>
        <v>0</v>
      </c>
      <c r="M103" s="18">
        <f t="shared" si="3"/>
        <v>0</v>
      </c>
    </row>
    <row r="104" s="3" customFormat="1" customHeight="1" spans="1:13">
      <c r="A104" s="36"/>
      <c r="B104" s="18" t="str">
        <f>IFERROR(VLOOKUP(A104,基础信息表!A:B,2,0),"")</f>
        <v/>
      </c>
      <c r="C104" s="14"/>
      <c r="D104" s="18" t="str">
        <f>IFERROR(VLOOKUP(C104,基础信息表!E:F,2,0),"")</f>
        <v/>
      </c>
      <c r="E104" s="14"/>
      <c r="F104" s="37"/>
      <c r="G104" s="37"/>
      <c r="H104" s="37"/>
      <c r="I104" s="37"/>
      <c r="J104" s="38"/>
      <c r="L104" s="18">
        <f>SUMIFS(成品出入库表!J:J,成品出入库表!H:H,BOM清单!A104)</f>
        <v>0</v>
      </c>
      <c r="M104" s="18">
        <f t="shared" si="3"/>
        <v>0</v>
      </c>
    </row>
    <row r="105" s="3" customFormat="1" customHeight="1" spans="1:13">
      <c r="A105" s="36"/>
      <c r="B105" s="18" t="str">
        <f>IFERROR(VLOOKUP(A105,基础信息表!A:B,2,0),"")</f>
        <v/>
      </c>
      <c r="C105" s="14"/>
      <c r="D105" s="18" t="str">
        <f>IFERROR(VLOOKUP(C105,基础信息表!E:F,2,0),"")</f>
        <v/>
      </c>
      <c r="E105" s="14"/>
      <c r="F105" s="37"/>
      <c r="G105" s="37"/>
      <c r="H105" s="37"/>
      <c r="I105" s="37"/>
      <c r="J105" s="38"/>
      <c r="L105" s="18">
        <f>SUMIFS(成品出入库表!J:J,成品出入库表!H:H,BOM清单!A105)</f>
        <v>0</v>
      </c>
      <c r="M105" s="18">
        <f t="shared" si="3"/>
        <v>0</v>
      </c>
    </row>
    <row r="106" s="3" customFormat="1" customHeight="1" spans="1:13">
      <c r="A106" s="36"/>
      <c r="B106" s="18" t="str">
        <f>IFERROR(VLOOKUP(A106,基础信息表!A:B,2,0),"")</f>
        <v/>
      </c>
      <c r="C106" s="14"/>
      <c r="D106" s="18" t="str">
        <f>IFERROR(VLOOKUP(C106,基础信息表!E:F,2,0),"")</f>
        <v/>
      </c>
      <c r="E106" s="14"/>
      <c r="F106" s="37"/>
      <c r="G106" s="37"/>
      <c r="H106" s="37"/>
      <c r="I106" s="37"/>
      <c r="J106" s="38"/>
      <c r="L106" s="18">
        <f>SUMIFS(成品出入库表!J:J,成品出入库表!H:H,BOM清单!A106)</f>
        <v>0</v>
      </c>
      <c r="M106" s="18">
        <f t="shared" si="3"/>
        <v>0</v>
      </c>
    </row>
    <row r="107" s="3" customFormat="1" customHeight="1" spans="1:13">
      <c r="A107" s="36"/>
      <c r="B107" s="18" t="str">
        <f>IFERROR(VLOOKUP(A107,基础信息表!A:B,2,0),"")</f>
        <v/>
      </c>
      <c r="C107" s="14"/>
      <c r="D107" s="18" t="str">
        <f>IFERROR(VLOOKUP(C107,基础信息表!E:F,2,0),"")</f>
        <v/>
      </c>
      <c r="E107" s="14"/>
      <c r="F107" s="37"/>
      <c r="G107" s="37"/>
      <c r="H107" s="37"/>
      <c r="I107" s="37"/>
      <c r="J107" s="38"/>
      <c r="L107" s="18">
        <f>SUMIFS(成品出入库表!J:J,成品出入库表!H:H,BOM清单!A107)</f>
        <v>0</v>
      </c>
      <c r="M107" s="18">
        <f t="shared" si="3"/>
        <v>0</v>
      </c>
    </row>
    <row r="108" s="3" customFormat="1" customHeight="1" spans="1:13">
      <c r="A108" s="36"/>
      <c r="B108" s="18" t="str">
        <f>IFERROR(VLOOKUP(A108,基础信息表!A:B,2,0),"")</f>
        <v/>
      </c>
      <c r="C108" s="14"/>
      <c r="D108" s="18" t="str">
        <f>IFERROR(VLOOKUP(C108,基础信息表!E:F,2,0),"")</f>
        <v/>
      </c>
      <c r="E108" s="14"/>
      <c r="F108" s="37"/>
      <c r="G108" s="37"/>
      <c r="H108" s="37"/>
      <c r="I108" s="37"/>
      <c r="J108" s="38"/>
      <c r="L108" s="18">
        <f>SUMIFS(成品出入库表!J:J,成品出入库表!H:H,BOM清单!A108)</f>
        <v>0</v>
      </c>
      <c r="M108" s="18">
        <f t="shared" si="3"/>
        <v>0</v>
      </c>
    </row>
    <row r="109" s="3" customFormat="1" customHeight="1" spans="1:13">
      <c r="A109" s="36"/>
      <c r="B109" s="18" t="str">
        <f>IFERROR(VLOOKUP(A109,基础信息表!A:B,2,0),"")</f>
        <v/>
      </c>
      <c r="C109" s="14"/>
      <c r="D109" s="18" t="str">
        <f>IFERROR(VLOOKUP(C109,基础信息表!E:F,2,0),"")</f>
        <v/>
      </c>
      <c r="E109" s="14"/>
      <c r="F109" s="37"/>
      <c r="G109" s="37"/>
      <c r="H109" s="37"/>
      <c r="I109" s="37"/>
      <c r="J109" s="38"/>
      <c r="L109" s="18">
        <f>SUMIFS(成品出入库表!J:J,成品出入库表!H:H,BOM清单!A109)</f>
        <v>0</v>
      </c>
      <c r="M109" s="18">
        <f t="shared" si="3"/>
        <v>0</v>
      </c>
    </row>
    <row r="110" s="3" customFormat="1" customHeight="1" spans="1:13">
      <c r="A110" s="36"/>
      <c r="B110" s="18" t="str">
        <f>IFERROR(VLOOKUP(A110,基础信息表!A:B,2,0),"")</f>
        <v/>
      </c>
      <c r="C110" s="14"/>
      <c r="D110" s="18" t="str">
        <f>IFERROR(VLOOKUP(C110,基础信息表!E:F,2,0),"")</f>
        <v/>
      </c>
      <c r="E110" s="14"/>
      <c r="F110" s="37"/>
      <c r="G110" s="37"/>
      <c r="H110" s="37"/>
      <c r="I110" s="37"/>
      <c r="J110" s="38"/>
      <c r="L110" s="18">
        <f>SUMIFS(成品出入库表!J:J,成品出入库表!H:H,BOM清单!A110)</f>
        <v>0</v>
      </c>
      <c r="M110" s="18">
        <f t="shared" si="3"/>
        <v>0</v>
      </c>
    </row>
    <row r="111" s="3" customFormat="1" customHeight="1" spans="1:13">
      <c r="A111" s="36"/>
      <c r="B111" s="18" t="str">
        <f>IFERROR(VLOOKUP(A111,基础信息表!A:B,2,0),"")</f>
        <v/>
      </c>
      <c r="C111" s="14"/>
      <c r="D111" s="18" t="str">
        <f>IFERROR(VLOOKUP(C111,基础信息表!E:F,2,0),"")</f>
        <v/>
      </c>
      <c r="E111" s="14"/>
      <c r="F111" s="37"/>
      <c r="G111" s="37"/>
      <c r="H111" s="37"/>
      <c r="I111" s="37"/>
      <c r="J111" s="38"/>
      <c r="L111" s="18">
        <f>SUMIFS(成品出入库表!J:J,成品出入库表!H:H,BOM清单!A111)</f>
        <v>0</v>
      </c>
      <c r="M111" s="18">
        <f t="shared" si="3"/>
        <v>0</v>
      </c>
    </row>
    <row r="112" s="3" customFormat="1" customHeight="1" spans="1:13">
      <c r="A112" s="36"/>
      <c r="B112" s="18" t="str">
        <f>IFERROR(VLOOKUP(A112,基础信息表!A:B,2,0),"")</f>
        <v/>
      </c>
      <c r="C112" s="14"/>
      <c r="D112" s="18" t="str">
        <f>IFERROR(VLOOKUP(C112,基础信息表!E:F,2,0),"")</f>
        <v/>
      </c>
      <c r="E112" s="14"/>
      <c r="F112" s="37"/>
      <c r="G112" s="37"/>
      <c r="H112" s="37"/>
      <c r="I112" s="37"/>
      <c r="J112" s="38"/>
      <c r="L112" s="18">
        <f>SUMIFS(成品出入库表!J:J,成品出入库表!H:H,BOM清单!A112)</f>
        <v>0</v>
      </c>
      <c r="M112" s="18">
        <f t="shared" si="3"/>
        <v>0</v>
      </c>
    </row>
    <row r="113" s="3" customFormat="1" customHeight="1" spans="1:13">
      <c r="A113" s="36"/>
      <c r="B113" s="18" t="str">
        <f>IFERROR(VLOOKUP(A113,基础信息表!A:B,2,0),"")</f>
        <v/>
      </c>
      <c r="C113" s="14"/>
      <c r="D113" s="18" t="str">
        <f>IFERROR(VLOOKUP(C113,基础信息表!E:F,2,0),"")</f>
        <v/>
      </c>
      <c r="E113" s="14"/>
      <c r="F113" s="37"/>
      <c r="G113" s="37"/>
      <c r="H113" s="37"/>
      <c r="I113" s="37"/>
      <c r="J113" s="38"/>
      <c r="L113" s="18">
        <f>SUMIFS(成品出入库表!J:J,成品出入库表!H:H,BOM清单!A113)</f>
        <v>0</v>
      </c>
      <c r="M113" s="18">
        <f t="shared" si="3"/>
        <v>0</v>
      </c>
    </row>
    <row r="114" s="3" customFormat="1" customHeight="1" spans="1:13">
      <c r="A114" s="36"/>
      <c r="B114" s="18" t="str">
        <f>IFERROR(VLOOKUP(A114,基础信息表!A:B,2,0),"")</f>
        <v/>
      </c>
      <c r="C114" s="14"/>
      <c r="D114" s="18" t="str">
        <f>IFERROR(VLOOKUP(C114,基础信息表!E:F,2,0),"")</f>
        <v/>
      </c>
      <c r="E114" s="14"/>
      <c r="F114" s="37"/>
      <c r="G114" s="37"/>
      <c r="H114" s="37"/>
      <c r="I114" s="37"/>
      <c r="J114" s="38"/>
      <c r="L114" s="18">
        <f>SUMIFS(成品出入库表!J:J,成品出入库表!H:H,BOM清单!A114)</f>
        <v>0</v>
      </c>
      <c r="M114" s="18">
        <f t="shared" si="3"/>
        <v>0</v>
      </c>
    </row>
    <row r="115" s="3" customFormat="1" customHeight="1" spans="1:13">
      <c r="A115" s="36"/>
      <c r="B115" s="18" t="str">
        <f>IFERROR(VLOOKUP(A115,基础信息表!A:B,2,0),"")</f>
        <v/>
      </c>
      <c r="C115" s="14"/>
      <c r="D115" s="18" t="str">
        <f>IFERROR(VLOOKUP(C115,基础信息表!E:F,2,0),"")</f>
        <v/>
      </c>
      <c r="E115" s="14"/>
      <c r="F115" s="37"/>
      <c r="G115" s="37"/>
      <c r="H115" s="37"/>
      <c r="I115" s="37"/>
      <c r="J115" s="38"/>
      <c r="L115" s="18">
        <f>SUMIFS(成品出入库表!J:J,成品出入库表!H:H,BOM清单!A115)</f>
        <v>0</v>
      </c>
      <c r="M115" s="18">
        <f t="shared" si="3"/>
        <v>0</v>
      </c>
    </row>
    <row r="116" s="3" customFormat="1" customHeight="1" spans="1:13">
      <c r="A116" s="36"/>
      <c r="B116" s="18" t="str">
        <f>IFERROR(VLOOKUP(A116,基础信息表!A:B,2,0),"")</f>
        <v/>
      </c>
      <c r="C116" s="14"/>
      <c r="D116" s="18" t="str">
        <f>IFERROR(VLOOKUP(C116,基础信息表!E:F,2,0),"")</f>
        <v/>
      </c>
      <c r="E116" s="14"/>
      <c r="F116" s="37"/>
      <c r="G116" s="37"/>
      <c r="H116" s="37"/>
      <c r="I116" s="37"/>
      <c r="J116" s="38"/>
      <c r="L116" s="18">
        <f>SUMIFS(成品出入库表!J:J,成品出入库表!H:H,BOM清单!A116)</f>
        <v>0</v>
      </c>
      <c r="M116" s="18">
        <f t="shared" si="3"/>
        <v>0</v>
      </c>
    </row>
    <row r="117" s="3" customFormat="1" customHeight="1" spans="1:13">
      <c r="A117" s="36"/>
      <c r="B117" s="18" t="str">
        <f>IFERROR(VLOOKUP(A117,基础信息表!A:B,2,0),"")</f>
        <v/>
      </c>
      <c r="C117" s="14"/>
      <c r="D117" s="18" t="str">
        <f>IFERROR(VLOOKUP(C117,基础信息表!E:F,2,0),"")</f>
        <v/>
      </c>
      <c r="E117" s="14"/>
      <c r="F117" s="37"/>
      <c r="G117" s="37"/>
      <c r="H117" s="37"/>
      <c r="I117" s="37"/>
      <c r="J117" s="38"/>
      <c r="L117" s="18">
        <f>SUMIFS(成品出入库表!J:J,成品出入库表!H:H,BOM清单!A117)</f>
        <v>0</v>
      </c>
      <c r="M117" s="18">
        <f t="shared" si="3"/>
        <v>0</v>
      </c>
    </row>
    <row r="118" s="3" customFormat="1" customHeight="1" spans="1:13">
      <c r="A118" s="36"/>
      <c r="B118" s="18" t="str">
        <f>IFERROR(VLOOKUP(A118,基础信息表!A:B,2,0),"")</f>
        <v/>
      </c>
      <c r="C118" s="14"/>
      <c r="D118" s="18" t="str">
        <f>IFERROR(VLOOKUP(C118,基础信息表!E:F,2,0),"")</f>
        <v/>
      </c>
      <c r="E118" s="14"/>
      <c r="F118" s="37"/>
      <c r="G118" s="37"/>
      <c r="H118" s="37"/>
      <c r="I118" s="37"/>
      <c r="J118" s="38"/>
      <c r="L118" s="18">
        <f>SUMIFS(成品出入库表!J:J,成品出入库表!H:H,BOM清单!A118)</f>
        <v>0</v>
      </c>
      <c r="M118" s="18">
        <f t="shared" si="3"/>
        <v>0</v>
      </c>
    </row>
    <row r="119" s="3" customFormat="1" customHeight="1" spans="1:13">
      <c r="A119" s="36"/>
      <c r="B119" s="18" t="str">
        <f>IFERROR(VLOOKUP(A119,基础信息表!A:B,2,0),"")</f>
        <v/>
      </c>
      <c r="C119" s="14"/>
      <c r="D119" s="18" t="str">
        <f>IFERROR(VLOOKUP(C119,基础信息表!E:F,2,0),"")</f>
        <v/>
      </c>
      <c r="E119" s="14"/>
      <c r="F119" s="37"/>
      <c r="G119" s="37"/>
      <c r="H119" s="37"/>
      <c r="I119" s="37"/>
      <c r="J119" s="38"/>
      <c r="L119" s="18">
        <f>SUMIFS(成品出入库表!J:J,成品出入库表!H:H,BOM清单!A119)</f>
        <v>0</v>
      </c>
      <c r="M119" s="18">
        <f t="shared" si="3"/>
        <v>0</v>
      </c>
    </row>
    <row r="120" s="3" customFormat="1" customHeight="1" spans="1:13">
      <c r="A120" s="36"/>
      <c r="B120" s="18" t="str">
        <f>IFERROR(VLOOKUP(A120,基础信息表!A:B,2,0),"")</f>
        <v/>
      </c>
      <c r="C120" s="14"/>
      <c r="D120" s="18" t="str">
        <f>IFERROR(VLOOKUP(C120,基础信息表!E:F,2,0),"")</f>
        <v/>
      </c>
      <c r="E120" s="14"/>
      <c r="F120" s="37"/>
      <c r="G120" s="37"/>
      <c r="H120" s="37"/>
      <c r="I120" s="37"/>
      <c r="J120" s="38"/>
      <c r="L120" s="18">
        <f>SUMIFS(成品出入库表!J:J,成品出入库表!H:H,BOM清单!A120)</f>
        <v>0</v>
      </c>
      <c r="M120" s="18">
        <f t="shared" si="3"/>
        <v>0</v>
      </c>
    </row>
    <row r="121" s="3" customFormat="1" customHeight="1" spans="1:13">
      <c r="A121" s="36"/>
      <c r="B121" s="18" t="str">
        <f>IFERROR(VLOOKUP(A121,基础信息表!A:B,2,0),"")</f>
        <v/>
      </c>
      <c r="C121" s="14"/>
      <c r="D121" s="18" t="str">
        <f>IFERROR(VLOOKUP(C121,基础信息表!E:F,2,0),"")</f>
        <v/>
      </c>
      <c r="E121" s="14"/>
      <c r="F121" s="37"/>
      <c r="G121" s="37"/>
      <c r="H121" s="37"/>
      <c r="I121" s="37"/>
      <c r="J121" s="38"/>
      <c r="L121" s="18">
        <f>SUMIFS(成品出入库表!J:J,成品出入库表!H:H,BOM清单!A121)</f>
        <v>0</v>
      </c>
      <c r="M121" s="18">
        <f t="shared" si="3"/>
        <v>0</v>
      </c>
    </row>
    <row r="122" s="3" customFormat="1" customHeight="1" spans="1:13">
      <c r="A122" s="36"/>
      <c r="B122" s="18" t="str">
        <f>IFERROR(VLOOKUP(A122,基础信息表!A:B,2,0),"")</f>
        <v/>
      </c>
      <c r="C122" s="14"/>
      <c r="D122" s="18" t="str">
        <f>IFERROR(VLOOKUP(C122,基础信息表!E:F,2,0),"")</f>
        <v/>
      </c>
      <c r="E122" s="14"/>
      <c r="F122" s="37"/>
      <c r="G122" s="37"/>
      <c r="H122" s="37"/>
      <c r="I122" s="37"/>
      <c r="J122" s="38"/>
      <c r="L122" s="18">
        <f>SUMIFS(成品出入库表!J:J,成品出入库表!H:H,BOM清单!A122)</f>
        <v>0</v>
      </c>
      <c r="M122" s="18">
        <f t="shared" si="3"/>
        <v>0</v>
      </c>
    </row>
    <row r="123" s="3" customFormat="1" customHeight="1" spans="1:13">
      <c r="A123" s="36"/>
      <c r="B123" s="18" t="str">
        <f>IFERROR(VLOOKUP(A123,基础信息表!A:B,2,0),"")</f>
        <v/>
      </c>
      <c r="C123" s="14"/>
      <c r="D123" s="18" t="str">
        <f>IFERROR(VLOOKUP(C123,基础信息表!E:F,2,0),"")</f>
        <v/>
      </c>
      <c r="E123" s="14"/>
      <c r="F123" s="37"/>
      <c r="G123" s="37"/>
      <c r="H123" s="37"/>
      <c r="I123" s="37"/>
      <c r="J123" s="38"/>
      <c r="L123" s="18">
        <f>SUMIFS(成品出入库表!J:J,成品出入库表!H:H,BOM清单!A123)</f>
        <v>0</v>
      </c>
      <c r="M123" s="18">
        <f t="shared" si="3"/>
        <v>0</v>
      </c>
    </row>
    <row r="124" s="3" customFormat="1" customHeight="1" spans="1:13">
      <c r="A124" s="36"/>
      <c r="B124" s="18" t="str">
        <f>IFERROR(VLOOKUP(A124,基础信息表!A:B,2,0),"")</f>
        <v/>
      </c>
      <c r="C124" s="14"/>
      <c r="D124" s="18" t="str">
        <f>IFERROR(VLOOKUP(C124,基础信息表!E:F,2,0),"")</f>
        <v/>
      </c>
      <c r="E124" s="14"/>
      <c r="F124" s="37"/>
      <c r="G124" s="37"/>
      <c r="H124" s="37"/>
      <c r="I124" s="37"/>
      <c r="J124" s="38"/>
      <c r="L124" s="18">
        <f>SUMIFS(成品出入库表!J:J,成品出入库表!H:H,BOM清单!A124)</f>
        <v>0</v>
      </c>
      <c r="M124" s="18">
        <f t="shared" si="3"/>
        <v>0</v>
      </c>
    </row>
    <row r="125" s="3" customFormat="1" customHeight="1" spans="1:13">
      <c r="A125" s="36"/>
      <c r="B125" s="18" t="str">
        <f>IFERROR(VLOOKUP(A125,基础信息表!A:B,2,0),"")</f>
        <v/>
      </c>
      <c r="C125" s="14"/>
      <c r="D125" s="18" t="str">
        <f>IFERROR(VLOOKUP(C125,基础信息表!E:F,2,0),"")</f>
        <v/>
      </c>
      <c r="E125" s="14"/>
      <c r="F125" s="37"/>
      <c r="G125" s="37"/>
      <c r="H125" s="37"/>
      <c r="I125" s="37"/>
      <c r="J125" s="38"/>
      <c r="L125" s="18">
        <f>SUMIFS(成品出入库表!J:J,成品出入库表!H:H,BOM清单!A125)</f>
        <v>0</v>
      </c>
      <c r="M125" s="18">
        <f t="shared" si="3"/>
        <v>0</v>
      </c>
    </row>
    <row r="126" s="3" customFormat="1" customHeight="1" spans="1:13">
      <c r="A126" s="36"/>
      <c r="B126" s="18" t="str">
        <f>IFERROR(VLOOKUP(A126,基础信息表!A:B,2,0),"")</f>
        <v/>
      </c>
      <c r="C126" s="14"/>
      <c r="D126" s="18" t="str">
        <f>IFERROR(VLOOKUP(C126,基础信息表!E:F,2,0),"")</f>
        <v/>
      </c>
      <c r="E126" s="14"/>
      <c r="F126" s="37"/>
      <c r="G126" s="37"/>
      <c r="H126" s="37"/>
      <c r="I126" s="37"/>
      <c r="J126" s="38"/>
      <c r="L126" s="18">
        <f>SUMIFS(成品出入库表!J:J,成品出入库表!H:H,BOM清单!A126)</f>
        <v>0</v>
      </c>
      <c r="M126" s="18">
        <f t="shared" si="3"/>
        <v>0</v>
      </c>
    </row>
    <row r="127" s="3" customFormat="1" customHeight="1" spans="1:13">
      <c r="A127" s="36"/>
      <c r="B127" s="18" t="str">
        <f>IFERROR(VLOOKUP(A127,基础信息表!A:B,2,0),"")</f>
        <v/>
      </c>
      <c r="C127" s="14"/>
      <c r="D127" s="18" t="str">
        <f>IFERROR(VLOOKUP(C127,基础信息表!E:F,2,0),"")</f>
        <v/>
      </c>
      <c r="E127" s="14"/>
      <c r="F127" s="37"/>
      <c r="G127" s="37"/>
      <c r="H127" s="37"/>
      <c r="I127" s="37"/>
      <c r="J127" s="38"/>
      <c r="L127" s="18">
        <f>SUMIFS(成品出入库表!J:J,成品出入库表!H:H,BOM清单!A127)</f>
        <v>0</v>
      </c>
      <c r="M127" s="18">
        <f t="shared" si="3"/>
        <v>0</v>
      </c>
    </row>
    <row r="128" s="3" customFormat="1" customHeight="1" spans="1:13">
      <c r="A128" s="36"/>
      <c r="B128" s="18" t="str">
        <f>IFERROR(VLOOKUP(A128,基础信息表!A:B,2,0),"")</f>
        <v/>
      </c>
      <c r="C128" s="14"/>
      <c r="D128" s="18" t="str">
        <f>IFERROR(VLOOKUP(C128,基础信息表!E:F,2,0),"")</f>
        <v/>
      </c>
      <c r="E128" s="14"/>
      <c r="F128" s="37"/>
      <c r="G128" s="37"/>
      <c r="H128" s="37"/>
      <c r="I128" s="37"/>
      <c r="J128" s="38"/>
      <c r="L128" s="18">
        <f>SUMIFS(成品出入库表!J:J,成品出入库表!H:H,BOM清单!A128)</f>
        <v>0</v>
      </c>
      <c r="M128" s="18">
        <f t="shared" si="3"/>
        <v>0</v>
      </c>
    </row>
    <row r="129" s="3" customFormat="1" customHeight="1" spans="1:13">
      <c r="A129" s="36"/>
      <c r="B129" s="18" t="str">
        <f>IFERROR(VLOOKUP(A129,基础信息表!A:B,2,0),"")</f>
        <v/>
      </c>
      <c r="C129" s="14"/>
      <c r="D129" s="18" t="str">
        <f>IFERROR(VLOOKUP(C129,基础信息表!E:F,2,0),"")</f>
        <v/>
      </c>
      <c r="E129" s="14"/>
      <c r="F129" s="37"/>
      <c r="G129" s="37"/>
      <c r="H129" s="37"/>
      <c r="I129" s="37"/>
      <c r="J129" s="38"/>
      <c r="L129" s="18">
        <f>SUMIFS(成品出入库表!J:J,成品出入库表!H:H,BOM清单!A129)</f>
        <v>0</v>
      </c>
      <c r="M129" s="18">
        <f t="shared" si="3"/>
        <v>0</v>
      </c>
    </row>
    <row r="130" s="3" customFormat="1" customHeight="1" spans="1:13">
      <c r="A130" s="36"/>
      <c r="B130" s="18" t="str">
        <f>IFERROR(VLOOKUP(A130,基础信息表!A:B,2,0),"")</f>
        <v/>
      </c>
      <c r="C130" s="14"/>
      <c r="D130" s="18" t="str">
        <f>IFERROR(VLOOKUP(C130,基础信息表!E:F,2,0),"")</f>
        <v/>
      </c>
      <c r="E130" s="14"/>
      <c r="F130" s="37"/>
      <c r="G130" s="37"/>
      <c r="H130" s="37"/>
      <c r="I130" s="37"/>
      <c r="J130" s="38"/>
      <c r="L130" s="18">
        <f>SUMIFS(成品出入库表!J:J,成品出入库表!H:H,BOM清单!A130)</f>
        <v>0</v>
      </c>
      <c r="M130" s="18">
        <f t="shared" si="3"/>
        <v>0</v>
      </c>
    </row>
    <row r="131" s="3" customFormat="1" customHeight="1" spans="1:13">
      <c r="A131" s="36"/>
      <c r="B131" s="18" t="str">
        <f>IFERROR(VLOOKUP(A131,基础信息表!A:B,2,0),"")</f>
        <v/>
      </c>
      <c r="C131" s="14"/>
      <c r="D131" s="18" t="str">
        <f>IFERROR(VLOOKUP(C131,基础信息表!E:F,2,0),"")</f>
        <v/>
      </c>
      <c r="E131" s="14"/>
      <c r="F131" s="37"/>
      <c r="G131" s="37"/>
      <c r="H131" s="37"/>
      <c r="I131" s="37"/>
      <c r="J131" s="38"/>
      <c r="L131" s="18">
        <f>SUMIFS(成品出入库表!J:J,成品出入库表!H:H,BOM清单!A131)</f>
        <v>0</v>
      </c>
      <c r="M131" s="18">
        <f t="shared" si="3"/>
        <v>0</v>
      </c>
    </row>
    <row r="132" s="3" customFormat="1" customHeight="1" spans="1:13">
      <c r="A132" s="36"/>
      <c r="B132" s="18" t="str">
        <f>IFERROR(VLOOKUP(A132,基础信息表!A:B,2,0),"")</f>
        <v/>
      </c>
      <c r="C132" s="14"/>
      <c r="D132" s="18" t="str">
        <f>IFERROR(VLOOKUP(C132,基础信息表!E:F,2,0),"")</f>
        <v/>
      </c>
      <c r="E132" s="14"/>
      <c r="F132" s="37"/>
      <c r="G132" s="37"/>
      <c r="H132" s="37"/>
      <c r="I132" s="37"/>
      <c r="J132" s="38"/>
      <c r="L132" s="18">
        <f>SUMIFS(成品出入库表!J:J,成品出入库表!H:H,BOM清单!A132)</f>
        <v>0</v>
      </c>
      <c r="M132" s="18">
        <f t="shared" ref="M132:M187" si="4">L132*E132</f>
        <v>0</v>
      </c>
    </row>
    <row r="133" s="3" customFormat="1" customHeight="1" spans="1:13">
      <c r="A133" s="36"/>
      <c r="B133" s="18" t="str">
        <f>IFERROR(VLOOKUP(A133,基础信息表!A:B,2,0),"")</f>
        <v/>
      </c>
      <c r="C133" s="14"/>
      <c r="D133" s="18" t="str">
        <f>IFERROR(VLOOKUP(C133,基础信息表!E:F,2,0),"")</f>
        <v/>
      </c>
      <c r="E133" s="14"/>
      <c r="F133" s="37"/>
      <c r="G133" s="37"/>
      <c r="H133" s="37"/>
      <c r="I133" s="37"/>
      <c r="J133" s="38"/>
      <c r="L133" s="18">
        <f>SUMIFS(成品出入库表!J:J,成品出入库表!H:H,BOM清单!A133)</f>
        <v>0</v>
      </c>
      <c r="M133" s="18">
        <f t="shared" si="4"/>
        <v>0</v>
      </c>
    </row>
    <row r="134" s="3" customFormat="1" customHeight="1" spans="1:13">
      <c r="A134" s="36"/>
      <c r="B134" s="18" t="str">
        <f>IFERROR(VLOOKUP(A134,基础信息表!A:B,2,0),"")</f>
        <v/>
      </c>
      <c r="C134" s="14"/>
      <c r="D134" s="18" t="str">
        <f>IFERROR(VLOOKUP(C134,基础信息表!E:F,2,0),"")</f>
        <v/>
      </c>
      <c r="E134" s="14"/>
      <c r="F134" s="37"/>
      <c r="G134" s="37"/>
      <c r="H134" s="37"/>
      <c r="I134" s="37"/>
      <c r="J134" s="38"/>
      <c r="L134" s="18">
        <f>SUMIFS(成品出入库表!J:J,成品出入库表!H:H,BOM清单!A134)</f>
        <v>0</v>
      </c>
      <c r="M134" s="18">
        <f t="shared" si="4"/>
        <v>0</v>
      </c>
    </row>
    <row r="135" s="3" customFormat="1" customHeight="1" spans="1:13">
      <c r="A135" s="36"/>
      <c r="B135" s="18" t="str">
        <f>IFERROR(VLOOKUP(A135,基础信息表!A:B,2,0),"")</f>
        <v/>
      </c>
      <c r="C135" s="14"/>
      <c r="D135" s="18" t="str">
        <f>IFERROR(VLOOKUP(C135,基础信息表!E:F,2,0),"")</f>
        <v/>
      </c>
      <c r="E135" s="14"/>
      <c r="F135" s="37"/>
      <c r="G135" s="37"/>
      <c r="H135" s="37"/>
      <c r="I135" s="37"/>
      <c r="J135" s="38"/>
      <c r="L135" s="18">
        <f>SUMIFS(成品出入库表!J:J,成品出入库表!H:H,BOM清单!A135)</f>
        <v>0</v>
      </c>
      <c r="M135" s="18">
        <f t="shared" si="4"/>
        <v>0</v>
      </c>
    </row>
    <row r="136" s="3" customFormat="1" customHeight="1" spans="1:13">
      <c r="A136" s="36"/>
      <c r="B136" s="18" t="str">
        <f>IFERROR(VLOOKUP(A136,基础信息表!A:B,2,0),"")</f>
        <v/>
      </c>
      <c r="C136" s="14"/>
      <c r="D136" s="18" t="str">
        <f>IFERROR(VLOOKUP(C136,基础信息表!E:F,2,0),"")</f>
        <v/>
      </c>
      <c r="E136" s="14"/>
      <c r="F136" s="37"/>
      <c r="G136" s="37"/>
      <c r="H136" s="37"/>
      <c r="I136" s="37"/>
      <c r="J136" s="38"/>
      <c r="L136" s="18">
        <f>SUMIFS(成品出入库表!J:J,成品出入库表!H:H,BOM清单!A136)</f>
        <v>0</v>
      </c>
      <c r="M136" s="18">
        <f t="shared" si="4"/>
        <v>0</v>
      </c>
    </row>
    <row r="137" s="3" customFormat="1" customHeight="1" spans="1:13">
      <c r="A137" s="36"/>
      <c r="B137" s="18" t="str">
        <f>IFERROR(VLOOKUP(A137,基础信息表!A:B,2,0),"")</f>
        <v/>
      </c>
      <c r="C137" s="14"/>
      <c r="D137" s="18" t="str">
        <f>IFERROR(VLOOKUP(C137,基础信息表!E:F,2,0),"")</f>
        <v/>
      </c>
      <c r="E137" s="14"/>
      <c r="F137" s="37"/>
      <c r="G137" s="37"/>
      <c r="H137" s="37"/>
      <c r="I137" s="37"/>
      <c r="J137" s="38"/>
      <c r="L137" s="18">
        <f>SUMIFS(成品出入库表!J:J,成品出入库表!H:H,BOM清单!A137)</f>
        <v>0</v>
      </c>
      <c r="M137" s="18">
        <f t="shared" si="4"/>
        <v>0</v>
      </c>
    </row>
    <row r="138" s="3" customFormat="1" customHeight="1" spans="1:13">
      <c r="A138" s="36"/>
      <c r="B138" s="18" t="str">
        <f>IFERROR(VLOOKUP(A138,基础信息表!A:B,2,0),"")</f>
        <v/>
      </c>
      <c r="C138" s="14"/>
      <c r="D138" s="18" t="str">
        <f>IFERROR(VLOOKUP(C138,基础信息表!E:F,2,0),"")</f>
        <v/>
      </c>
      <c r="E138" s="14"/>
      <c r="F138" s="37"/>
      <c r="G138" s="37"/>
      <c r="H138" s="37"/>
      <c r="I138" s="37"/>
      <c r="J138" s="38"/>
      <c r="L138" s="18">
        <f>SUMIFS(成品出入库表!J:J,成品出入库表!H:H,BOM清单!A138)</f>
        <v>0</v>
      </c>
      <c r="M138" s="18">
        <f t="shared" si="4"/>
        <v>0</v>
      </c>
    </row>
    <row r="139" s="3" customFormat="1" customHeight="1" spans="1:13">
      <c r="A139" s="36"/>
      <c r="B139" s="18" t="str">
        <f>IFERROR(VLOOKUP(A139,基础信息表!A:B,2,0),"")</f>
        <v/>
      </c>
      <c r="C139" s="14"/>
      <c r="D139" s="18" t="str">
        <f>IFERROR(VLOOKUP(C139,基础信息表!E:F,2,0),"")</f>
        <v/>
      </c>
      <c r="E139" s="14"/>
      <c r="F139" s="37"/>
      <c r="G139" s="37"/>
      <c r="H139" s="37"/>
      <c r="I139" s="37"/>
      <c r="J139" s="38"/>
      <c r="L139" s="18">
        <f>SUMIFS(成品出入库表!J:J,成品出入库表!H:H,BOM清单!A139)</f>
        <v>0</v>
      </c>
      <c r="M139" s="18">
        <f t="shared" si="4"/>
        <v>0</v>
      </c>
    </row>
    <row r="140" s="3" customFormat="1" customHeight="1" spans="1:13">
      <c r="A140" s="36"/>
      <c r="B140" s="18" t="str">
        <f>IFERROR(VLOOKUP(A140,基础信息表!A:B,2,0),"")</f>
        <v/>
      </c>
      <c r="C140" s="14"/>
      <c r="D140" s="18" t="str">
        <f>IFERROR(VLOOKUP(C140,基础信息表!E:F,2,0),"")</f>
        <v/>
      </c>
      <c r="E140" s="14"/>
      <c r="F140" s="37"/>
      <c r="G140" s="37"/>
      <c r="H140" s="37"/>
      <c r="I140" s="37"/>
      <c r="J140" s="38"/>
      <c r="L140" s="18">
        <f>SUMIFS(成品出入库表!J:J,成品出入库表!H:H,BOM清单!A140)</f>
        <v>0</v>
      </c>
      <c r="M140" s="18">
        <f t="shared" si="4"/>
        <v>0</v>
      </c>
    </row>
    <row r="141" s="3" customFormat="1" customHeight="1" spans="1:13">
      <c r="A141" s="36"/>
      <c r="B141" s="18" t="str">
        <f>IFERROR(VLOOKUP(A141,基础信息表!A:B,2,0),"")</f>
        <v/>
      </c>
      <c r="C141" s="14"/>
      <c r="D141" s="18" t="str">
        <f>IFERROR(VLOOKUP(C141,基础信息表!E:F,2,0),"")</f>
        <v/>
      </c>
      <c r="E141" s="14"/>
      <c r="F141" s="37"/>
      <c r="G141" s="37"/>
      <c r="H141" s="37"/>
      <c r="I141" s="37"/>
      <c r="J141" s="38"/>
      <c r="L141" s="18">
        <f>SUMIFS(成品出入库表!J:J,成品出入库表!H:H,BOM清单!A141)</f>
        <v>0</v>
      </c>
      <c r="M141" s="18">
        <f t="shared" si="4"/>
        <v>0</v>
      </c>
    </row>
    <row r="142" s="3" customFormat="1" customHeight="1" spans="1:13">
      <c r="A142" s="36"/>
      <c r="B142" s="18" t="str">
        <f>IFERROR(VLOOKUP(A142,基础信息表!A:B,2,0),"")</f>
        <v/>
      </c>
      <c r="C142" s="14"/>
      <c r="D142" s="18" t="str">
        <f>IFERROR(VLOOKUP(C142,基础信息表!E:F,2,0),"")</f>
        <v/>
      </c>
      <c r="E142" s="14"/>
      <c r="F142" s="37"/>
      <c r="G142" s="37"/>
      <c r="H142" s="37"/>
      <c r="I142" s="37"/>
      <c r="J142" s="38"/>
      <c r="L142" s="18">
        <f>SUMIFS(成品出入库表!J:J,成品出入库表!H:H,BOM清单!A142)</f>
        <v>0</v>
      </c>
      <c r="M142" s="18">
        <f t="shared" si="4"/>
        <v>0</v>
      </c>
    </row>
    <row r="143" s="3" customFormat="1" customHeight="1" spans="1:13">
      <c r="A143" s="36"/>
      <c r="B143" s="18" t="str">
        <f>IFERROR(VLOOKUP(A143,基础信息表!A:B,2,0),"")</f>
        <v/>
      </c>
      <c r="C143" s="14"/>
      <c r="D143" s="18" t="str">
        <f>IFERROR(VLOOKUP(C143,基础信息表!E:F,2,0),"")</f>
        <v/>
      </c>
      <c r="E143" s="14"/>
      <c r="F143" s="37"/>
      <c r="G143" s="37"/>
      <c r="H143" s="37"/>
      <c r="I143" s="37"/>
      <c r="J143" s="38"/>
      <c r="L143" s="18">
        <f>SUMIFS(成品出入库表!J:J,成品出入库表!H:H,BOM清单!A143)</f>
        <v>0</v>
      </c>
      <c r="M143" s="18">
        <f t="shared" si="4"/>
        <v>0</v>
      </c>
    </row>
    <row r="144" s="3" customFormat="1" customHeight="1" spans="1:13">
      <c r="A144" s="36"/>
      <c r="B144" s="18" t="str">
        <f>IFERROR(VLOOKUP(A144,基础信息表!A:B,2,0),"")</f>
        <v/>
      </c>
      <c r="C144" s="14"/>
      <c r="D144" s="18" t="str">
        <f>IFERROR(VLOOKUP(C144,基础信息表!E:F,2,0),"")</f>
        <v/>
      </c>
      <c r="E144" s="14"/>
      <c r="F144" s="37"/>
      <c r="G144" s="37"/>
      <c r="H144" s="37"/>
      <c r="I144" s="37"/>
      <c r="J144" s="38"/>
      <c r="L144" s="18">
        <f>SUMIFS(成品出入库表!J:J,成品出入库表!H:H,BOM清单!A144)</f>
        <v>0</v>
      </c>
      <c r="M144" s="18">
        <f t="shared" si="4"/>
        <v>0</v>
      </c>
    </row>
    <row r="145" s="3" customFormat="1" customHeight="1" spans="1:13">
      <c r="A145" s="36"/>
      <c r="B145" s="18" t="str">
        <f>IFERROR(VLOOKUP(A145,基础信息表!A:B,2,0),"")</f>
        <v/>
      </c>
      <c r="C145" s="14"/>
      <c r="D145" s="18" t="str">
        <f>IFERROR(VLOOKUP(C145,基础信息表!E:F,2,0),"")</f>
        <v/>
      </c>
      <c r="E145" s="14"/>
      <c r="F145" s="37"/>
      <c r="G145" s="37"/>
      <c r="H145" s="37"/>
      <c r="I145" s="37"/>
      <c r="J145" s="38"/>
      <c r="L145" s="18">
        <f>SUMIFS(成品出入库表!J:J,成品出入库表!H:H,BOM清单!A145)</f>
        <v>0</v>
      </c>
      <c r="M145" s="18">
        <f t="shared" si="4"/>
        <v>0</v>
      </c>
    </row>
    <row r="146" s="3" customFormat="1" customHeight="1" spans="1:13">
      <c r="A146" s="36"/>
      <c r="B146" s="18" t="str">
        <f>IFERROR(VLOOKUP(A146,基础信息表!A:B,2,0),"")</f>
        <v/>
      </c>
      <c r="C146" s="14"/>
      <c r="D146" s="18" t="str">
        <f>IFERROR(VLOOKUP(C146,基础信息表!E:F,2,0),"")</f>
        <v/>
      </c>
      <c r="E146" s="14"/>
      <c r="F146" s="37"/>
      <c r="G146" s="37"/>
      <c r="H146" s="37"/>
      <c r="I146" s="37"/>
      <c r="J146" s="38"/>
      <c r="L146" s="18">
        <f>SUMIFS(成品出入库表!J:J,成品出入库表!H:H,BOM清单!A146)</f>
        <v>0</v>
      </c>
      <c r="M146" s="18">
        <f t="shared" si="4"/>
        <v>0</v>
      </c>
    </row>
    <row r="147" s="3" customFormat="1" customHeight="1" spans="1:13">
      <c r="A147" s="36"/>
      <c r="B147" s="18" t="str">
        <f>IFERROR(VLOOKUP(A147,基础信息表!A:B,2,0),"")</f>
        <v/>
      </c>
      <c r="C147" s="14"/>
      <c r="D147" s="18" t="str">
        <f>IFERROR(VLOOKUP(C147,基础信息表!E:F,2,0),"")</f>
        <v/>
      </c>
      <c r="E147" s="14"/>
      <c r="F147" s="37"/>
      <c r="G147" s="37"/>
      <c r="H147" s="37"/>
      <c r="I147" s="37"/>
      <c r="J147" s="38"/>
      <c r="L147" s="18">
        <f>SUMIFS(成品出入库表!J:J,成品出入库表!H:H,BOM清单!A147)</f>
        <v>0</v>
      </c>
      <c r="M147" s="18">
        <f t="shared" si="4"/>
        <v>0</v>
      </c>
    </row>
    <row r="148" s="3" customFormat="1" customHeight="1" spans="1:13">
      <c r="A148" s="36"/>
      <c r="B148" s="18" t="str">
        <f>IFERROR(VLOOKUP(A148,基础信息表!A:B,2,0),"")</f>
        <v/>
      </c>
      <c r="C148" s="14"/>
      <c r="D148" s="18" t="str">
        <f>IFERROR(VLOOKUP(C148,基础信息表!E:F,2,0),"")</f>
        <v/>
      </c>
      <c r="E148" s="14"/>
      <c r="F148" s="37"/>
      <c r="G148" s="37"/>
      <c r="H148" s="37"/>
      <c r="I148" s="37"/>
      <c r="J148" s="38"/>
      <c r="L148" s="18">
        <f>SUMIFS(成品出入库表!J:J,成品出入库表!H:H,BOM清单!A148)</f>
        <v>0</v>
      </c>
      <c r="M148" s="18">
        <f t="shared" si="4"/>
        <v>0</v>
      </c>
    </row>
    <row r="149" s="3" customFormat="1" customHeight="1" spans="1:13">
      <c r="A149" s="36"/>
      <c r="B149" s="18" t="str">
        <f>IFERROR(VLOOKUP(A149,基础信息表!A:B,2,0),"")</f>
        <v/>
      </c>
      <c r="C149" s="14"/>
      <c r="D149" s="18" t="str">
        <f>IFERROR(VLOOKUP(C149,基础信息表!E:F,2,0),"")</f>
        <v/>
      </c>
      <c r="E149" s="14"/>
      <c r="F149" s="37"/>
      <c r="G149" s="37"/>
      <c r="H149" s="37"/>
      <c r="I149" s="37"/>
      <c r="J149" s="38"/>
      <c r="L149" s="18">
        <f>SUMIFS(成品出入库表!J:J,成品出入库表!H:H,BOM清单!A149)</f>
        <v>0</v>
      </c>
      <c r="M149" s="18">
        <f t="shared" si="4"/>
        <v>0</v>
      </c>
    </row>
    <row r="150" s="3" customFormat="1" customHeight="1" spans="1:13">
      <c r="A150" s="36"/>
      <c r="B150" s="18" t="str">
        <f>IFERROR(VLOOKUP(A150,基础信息表!A:B,2,0),"")</f>
        <v/>
      </c>
      <c r="C150" s="14"/>
      <c r="D150" s="18" t="str">
        <f>IFERROR(VLOOKUP(C150,基础信息表!E:F,2,0),"")</f>
        <v/>
      </c>
      <c r="E150" s="14"/>
      <c r="F150" s="37"/>
      <c r="G150" s="37"/>
      <c r="H150" s="37"/>
      <c r="I150" s="37"/>
      <c r="J150" s="38"/>
      <c r="L150" s="18">
        <f>SUMIFS(成品出入库表!J:J,成品出入库表!H:H,BOM清单!A150)</f>
        <v>0</v>
      </c>
      <c r="M150" s="18">
        <f t="shared" si="4"/>
        <v>0</v>
      </c>
    </row>
    <row r="151" s="3" customFormat="1" customHeight="1" spans="1:13">
      <c r="A151" s="36"/>
      <c r="B151" s="18" t="str">
        <f>IFERROR(VLOOKUP(A151,基础信息表!A:B,2,0),"")</f>
        <v/>
      </c>
      <c r="C151" s="14"/>
      <c r="D151" s="18" t="str">
        <f>IFERROR(VLOOKUP(C151,基础信息表!E:F,2,0),"")</f>
        <v/>
      </c>
      <c r="E151" s="14"/>
      <c r="F151" s="37"/>
      <c r="G151" s="37"/>
      <c r="H151" s="37"/>
      <c r="I151" s="37"/>
      <c r="J151" s="38"/>
      <c r="L151" s="18">
        <f>SUMIFS(成品出入库表!J:J,成品出入库表!H:H,BOM清单!A151)</f>
        <v>0</v>
      </c>
      <c r="M151" s="18">
        <f t="shared" si="4"/>
        <v>0</v>
      </c>
    </row>
    <row r="152" s="3" customFormat="1" customHeight="1" spans="1:13">
      <c r="A152" s="36"/>
      <c r="B152" s="18" t="str">
        <f>IFERROR(VLOOKUP(A152,基础信息表!A:B,2,0),"")</f>
        <v/>
      </c>
      <c r="C152" s="14"/>
      <c r="D152" s="18" t="str">
        <f>IFERROR(VLOOKUP(C152,基础信息表!E:F,2,0),"")</f>
        <v/>
      </c>
      <c r="E152" s="14"/>
      <c r="F152" s="37"/>
      <c r="G152" s="37"/>
      <c r="H152" s="37"/>
      <c r="I152" s="37"/>
      <c r="J152" s="38"/>
      <c r="L152" s="18">
        <f>SUMIFS(成品出入库表!J:J,成品出入库表!H:H,BOM清单!A152)</f>
        <v>0</v>
      </c>
      <c r="M152" s="18">
        <f t="shared" si="4"/>
        <v>0</v>
      </c>
    </row>
    <row r="153" s="3" customFormat="1" customHeight="1" spans="1:13">
      <c r="A153" s="36"/>
      <c r="B153" s="18" t="str">
        <f>IFERROR(VLOOKUP(A153,基础信息表!A:B,2,0),"")</f>
        <v/>
      </c>
      <c r="C153" s="14"/>
      <c r="D153" s="18" t="str">
        <f>IFERROR(VLOOKUP(C153,基础信息表!E:F,2,0),"")</f>
        <v/>
      </c>
      <c r="E153" s="14"/>
      <c r="F153" s="37"/>
      <c r="G153" s="37"/>
      <c r="H153" s="37"/>
      <c r="I153" s="37"/>
      <c r="J153" s="38"/>
      <c r="L153" s="18">
        <f>SUMIFS(成品出入库表!J:J,成品出入库表!H:H,BOM清单!A153)</f>
        <v>0</v>
      </c>
      <c r="M153" s="18">
        <f t="shared" si="4"/>
        <v>0</v>
      </c>
    </row>
    <row r="154" s="3" customFormat="1" customHeight="1" spans="1:13">
      <c r="A154" s="36"/>
      <c r="B154" s="18" t="str">
        <f>IFERROR(VLOOKUP(A154,基础信息表!A:B,2,0),"")</f>
        <v/>
      </c>
      <c r="C154" s="14"/>
      <c r="D154" s="18" t="str">
        <f>IFERROR(VLOOKUP(C154,基础信息表!E:F,2,0),"")</f>
        <v/>
      </c>
      <c r="E154" s="14"/>
      <c r="F154" s="37"/>
      <c r="G154" s="37"/>
      <c r="H154" s="37"/>
      <c r="I154" s="37"/>
      <c r="J154" s="38"/>
      <c r="L154" s="18">
        <f>SUMIFS(成品出入库表!J:J,成品出入库表!H:H,BOM清单!A154)</f>
        <v>0</v>
      </c>
      <c r="M154" s="18">
        <f t="shared" si="4"/>
        <v>0</v>
      </c>
    </row>
    <row r="155" s="3" customFormat="1" customHeight="1" spans="1:13">
      <c r="A155" s="36"/>
      <c r="B155" s="18" t="str">
        <f>IFERROR(VLOOKUP(A155,基础信息表!A:B,2,0),"")</f>
        <v/>
      </c>
      <c r="C155" s="14"/>
      <c r="D155" s="18" t="str">
        <f>IFERROR(VLOOKUP(C155,基础信息表!E:F,2,0),"")</f>
        <v/>
      </c>
      <c r="E155" s="14"/>
      <c r="F155" s="37"/>
      <c r="G155" s="37"/>
      <c r="H155" s="37"/>
      <c r="I155" s="37"/>
      <c r="J155" s="38"/>
      <c r="L155" s="18">
        <f>SUMIFS(成品出入库表!J:J,成品出入库表!H:H,BOM清单!A155)</f>
        <v>0</v>
      </c>
      <c r="M155" s="18">
        <f t="shared" si="4"/>
        <v>0</v>
      </c>
    </row>
    <row r="156" s="3" customFormat="1" customHeight="1" spans="1:13">
      <c r="A156" s="36"/>
      <c r="B156" s="18" t="str">
        <f>IFERROR(VLOOKUP(A156,基础信息表!A:B,2,0),"")</f>
        <v/>
      </c>
      <c r="C156" s="14"/>
      <c r="D156" s="18" t="str">
        <f>IFERROR(VLOOKUP(C156,基础信息表!E:F,2,0),"")</f>
        <v/>
      </c>
      <c r="E156" s="14"/>
      <c r="F156" s="37"/>
      <c r="G156" s="37"/>
      <c r="H156" s="37"/>
      <c r="I156" s="37"/>
      <c r="J156" s="38"/>
      <c r="L156" s="18">
        <f>SUMIFS(成品出入库表!J:J,成品出入库表!H:H,BOM清单!A156)</f>
        <v>0</v>
      </c>
      <c r="M156" s="18">
        <f t="shared" si="4"/>
        <v>0</v>
      </c>
    </row>
    <row r="157" s="3" customFormat="1" customHeight="1" spans="1:13">
      <c r="A157" s="36"/>
      <c r="B157" s="18" t="str">
        <f>IFERROR(VLOOKUP(A157,基础信息表!A:B,2,0),"")</f>
        <v/>
      </c>
      <c r="C157" s="14"/>
      <c r="D157" s="18" t="str">
        <f>IFERROR(VLOOKUP(C157,基础信息表!E:F,2,0),"")</f>
        <v/>
      </c>
      <c r="E157" s="14"/>
      <c r="F157" s="37"/>
      <c r="G157" s="37"/>
      <c r="H157" s="37"/>
      <c r="I157" s="37"/>
      <c r="J157" s="38"/>
      <c r="L157" s="18">
        <f>SUMIFS(成品出入库表!J:J,成品出入库表!H:H,BOM清单!A157)</f>
        <v>0</v>
      </c>
      <c r="M157" s="18">
        <f t="shared" si="4"/>
        <v>0</v>
      </c>
    </row>
    <row r="158" s="3" customFormat="1" customHeight="1" spans="1:13">
      <c r="A158" s="36"/>
      <c r="B158" s="18" t="str">
        <f>IFERROR(VLOOKUP(A158,基础信息表!A:B,2,0),"")</f>
        <v/>
      </c>
      <c r="C158" s="14"/>
      <c r="D158" s="18" t="str">
        <f>IFERROR(VLOOKUP(C158,基础信息表!E:F,2,0),"")</f>
        <v/>
      </c>
      <c r="E158" s="14"/>
      <c r="F158" s="37"/>
      <c r="G158" s="37"/>
      <c r="H158" s="37"/>
      <c r="I158" s="37"/>
      <c r="J158" s="38"/>
      <c r="L158" s="18">
        <f>SUMIFS(成品出入库表!J:J,成品出入库表!H:H,BOM清单!A158)</f>
        <v>0</v>
      </c>
      <c r="M158" s="18">
        <f t="shared" si="4"/>
        <v>0</v>
      </c>
    </row>
    <row r="159" s="3" customFormat="1" customHeight="1" spans="1:13">
      <c r="A159" s="36"/>
      <c r="B159" s="18" t="str">
        <f>IFERROR(VLOOKUP(A159,基础信息表!A:B,2,0),"")</f>
        <v/>
      </c>
      <c r="C159" s="14"/>
      <c r="D159" s="18" t="str">
        <f>IFERROR(VLOOKUP(C159,基础信息表!E:F,2,0),"")</f>
        <v/>
      </c>
      <c r="E159" s="14"/>
      <c r="F159" s="37"/>
      <c r="G159" s="37"/>
      <c r="H159" s="37"/>
      <c r="I159" s="37"/>
      <c r="J159" s="38"/>
      <c r="L159" s="18">
        <f>SUMIFS(成品出入库表!J:J,成品出入库表!H:H,BOM清单!A159)</f>
        <v>0</v>
      </c>
      <c r="M159" s="18">
        <f t="shared" si="4"/>
        <v>0</v>
      </c>
    </row>
    <row r="160" s="3" customFormat="1" customHeight="1" spans="1:13">
      <c r="A160" s="36"/>
      <c r="B160" s="18" t="str">
        <f>IFERROR(VLOOKUP(A160,基础信息表!A:B,2,0),"")</f>
        <v/>
      </c>
      <c r="C160" s="14"/>
      <c r="D160" s="18" t="str">
        <f>IFERROR(VLOOKUP(C160,基础信息表!E:F,2,0),"")</f>
        <v/>
      </c>
      <c r="E160" s="14"/>
      <c r="F160" s="37"/>
      <c r="G160" s="37"/>
      <c r="H160" s="37"/>
      <c r="I160" s="37"/>
      <c r="J160" s="38"/>
      <c r="L160" s="18">
        <f>SUMIFS(成品出入库表!J:J,成品出入库表!H:H,BOM清单!A160)</f>
        <v>0</v>
      </c>
      <c r="M160" s="18">
        <f t="shared" si="4"/>
        <v>0</v>
      </c>
    </row>
    <row r="161" s="3" customFormat="1" customHeight="1" spans="1:13">
      <c r="A161" s="36"/>
      <c r="B161" s="18" t="str">
        <f>IFERROR(VLOOKUP(A161,基础信息表!A:B,2,0),"")</f>
        <v/>
      </c>
      <c r="C161" s="14"/>
      <c r="D161" s="18" t="str">
        <f>IFERROR(VLOOKUP(C161,基础信息表!E:F,2,0),"")</f>
        <v/>
      </c>
      <c r="E161" s="14"/>
      <c r="F161" s="37"/>
      <c r="G161" s="37"/>
      <c r="H161" s="37"/>
      <c r="I161" s="37"/>
      <c r="J161" s="38"/>
      <c r="L161" s="18">
        <f>SUMIFS(成品出入库表!J:J,成品出入库表!H:H,BOM清单!A161)</f>
        <v>0</v>
      </c>
      <c r="M161" s="18">
        <f t="shared" si="4"/>
        <v>0</v>
      </c>
    </row>
    <row r="162" s="3" customFormat="1" customHeight="1" spans="1:13">
      <c r="A162" s="36"/>
      <c r="B162" s="18" t="str">
        <f>IFERROR(VLOOKUP(A162,基础信息表!A:B,2,0),"")</f>
        <v/>
      </c>
      <c r="C162" s="14"/>
      <c r="D162" s="18" t="str">
        <f>IFERROR(VLOOKUP(C162,基础信息表!E:F,2,0),"")</f>
        <v/>
      </c>
      <c r="E162" s="14"/>
      <c r="F162" s="37"/>
      <c r="G162" s="37"/>
      <c r="H162" s="37"/>
      <c r="I162" s="37"/>
      <c r="J162" s="38"/>
      <c r="L162" s="18">
        <f>SUMIFS(成品出入库表!J:J,成品出入库表!H:H,BOM清单!A162)</f>
        <v>0</v>
      </c>
      <c r="M162" s="18">
        <f t="shared" si="4"/>
        <v>0</v>
      </c>
    </row>
    <row r="163" s="3" customFormat="1" customHeight="1" spans="1:13">
      <c r="A163" s="36"/>
      <c r="B163" s="18" t="str">
        <f>IFERROR(VLOOKUP(A163,基础信息表!A:B,2,0),"")</f>
        <v/>
      </c>
      <c r="C163" s="14"/>
      <c r="D163" s="18" t="str">
        <f>IFERROR(VLOOKUP(C163,基础信息表!E:F,2,0),"")</f>
        <v/>
      </c>
      <c r="E163" s="14"/>
      <c r="F163" s="37"/>
      <c r="G163" s="37"/>
      <c r="H163" s="37"/>
      <c r="I163" s="37"/>
      <c r="J163" s="38"/>
      <c r="L163" s="18">
        <f>SUMIFS(成品出入库表!J:J,成品出入库表!H:H,BOM清单!A163)</f>
        <v>0</v>
      </c>
      <c r="M163" s="18">
        <f t="shared" si="4"/>
        <v>0</v>
      </c>
    </row>
    <row r="164" s="3" customFormat="1" customHeight="1" spans="1:13">
      <c r="A164" s="36"/>
      <c r="B164" s="18" t="str">
        <f>IFERROR(VLOOKUP(A164,基础信息表!A:B,2,0),"")</f>
        <v/>
      </c>
      <c r="C164" s="14"/>
      <c r="D164" s="18" t="str">
        <f>IFERROR(VLOOKUP(C164,基础信息表!E:F,2,0),"")</f>
        <v/>
      </c>
      <c r="E164" s="14"/>
      <c r="F164" s="37"/>
      <c r="G164" s="37"/>
      <c r="H164" s="37"/>
      <c r="I164" s="37"/>
      <c r="J164" s="38"/>
      <c r="L164" s="18">
        <f>SUMIFS(成品出入库表!J:J,成品出入库表!H:H,BOM清单!A164)</f>
        <v>0</v>
      </c>
      <c r="M164" s="18">
        <f t="shared" si="4"/>
        <v>0</v>
      </c>
    </row>
    <row r="165" s="3" customFormat="1" customHeight="1" spans="1:13">
      <c r="A165" s="36"/>
      <c r="B165" s="18" t="str">
        <f>IFERROR(VLOOKUP(A165,基础信息表!A:B,2,0),"")</f>
        <v/>
      </c>
      <c r="C165" s="14"/>
      <c r="D165" s="18" t="str">
        <f>IFERROR(VLOOKUP(C165,基础信息表!E:F,2,0),"")</f>
        <v/>
      </c>
      <c r="E165" s="14"/>
      <c r="F165" s="37"/>
      <c r="G165" s="37"/>
      <c r="H165" s="37"/>
      <c r="I165" s="37"/>
      <c r="J165" s="38"/>
      <c r="L165" s="18">
        <f>SUMIFS(成品出入库表!J:J,成品出入库表!H:H,BOM清单!A165)</f>
        <v>0</v>
      </c>
      <c r="M165" s="18">
        <f t="shared" si="4"/>
        <v>0</v>
      </c>
    </row>
    <row r="166" s="3" customFormat="1" customHeight="1" spans="1:13">
      <c r="A166" s="36"/>
      <c r="B166" s="18" t="str">
        <f>IFERROR(VLOOKUP(A166,基础信息表!A:B,2,0),"")</f>
        <v/>
      </c>
      <c r="C166" s="14"/>
      <c r="D166" s="18" t="str">
        <f>IFERROR(VLOOKUP(C166,基础信息表!E:F,2,0),"")</f>
        <v/>
      </c>
      <c r="E166" s="14"/>
      <c r="F166" s="37"/>
      <c r="G166" s="37"/>
      <c r="H166" s="37"/>
      <c r="I166" s="37"/>
      <c r="J166" s="38"/>
      <c r="L166" s="18">
        <f>SUMIFS(成品出入库表!J:J,成品出入库表!H:H,BOM清单!A166)</f>
        <v>0</v>
      </c>
      <c r="M166" s="18">
        <f t="shared" si="4"/>
        <v>0</v>
      </c>
    </row>
    <row r="167" s="3" customFormat="1" customHeight="1" spans="1:13">
      <c r="A167" s="36"/>
      <c r="B167" s="18" t="str">
        <f>IFERROR(VLOOKUP(A167,基础信息表!A:B,2,0),"")</f>
        <v/>
      </c>
      <c r="C167" s="14"/>
      <c r="D167" s="18" t="str">
        <f>IFERROR(VLOOKUP(C167,基础信息表!E:F,2,0),"")</f>
        <v/>
      </c>
      <c r="E167" s="14"/>
      <c r="F167" s="37"/>
      <c r="G167" s="37"/>
      <c r="H167" s="37"/>
      <c r="I167" s="37"/>
      <c r="J167" s="38"/>
      <c r="L167" s="18">
        <f>SUMIFS(成品出入库表!J:J,成品出入库表!H:H,BOM清单!A167)</f>
        <v>0</v>
      </c>
      <c r="M167" s="18">
        <f t="shared" si="4"/>
        <v>0</v>
      </c>
    </row>
    <row r="168" s="3" customFormat="1" customHeight="1" spans="1:13">
      <c r="A168" s="36"/>
      <c r="B168" s="18" t="str">
        <f>IFERROR(VLOOKUP(A168,基础信息表!A:B,2,0),"")</f>
        <v/>
      </c>
      <c r="C168" s="14"/>
      <c r="D168" s="18" t="str">
        <f>IFERROR(VLOOKUP(C168,基础信息表!E:F,2,0),"")</f>
        <v/>
      </c>
      <c r="E168" s="14"/>
      <c r="F168" s="37"/>
      <c r="G168" s="37"/>
      <c r="H168" s="37"/>
      <c r="I168" s="37"/>
      <c r="J168" s="38"/>
      <c r="L168" s="18">
        <f>SUMIFS(成品出入库表!J:J,成品出入库表!H:H,BOM清单!A168)</f>
        <v>0</v>
      </c>
      <c r="M168" s="18">
        <f t="shared" si="4"/>
        <v>0</v>
      </c>
    </row>
    <row r="169" s="3" customFormat="1" customHeight="1" spans="1:13">
      <c r="A169" s="36"/>
      <c r="B169" s="18" t="str">
        <f>IFERROR(VLOOKUP(A169,基础信息表!A:B,2,0),"")</f>
        <v/>
      </c>
      <c r="C169" s="14"/>
      <c r="D169" s="18" t="str">
        <f>IFERROR(VLOOKUP(C169,基础信息表!E:F,2,0),"")</f>
        <v/>
      </c>
      <c r="E169" s="14"/>
      <c r="F169" s="37"/>
      <c r="G169" s="37"/>
      <c r="H169" s="37"/>
      <c r="I169" s="37"/>
      <c r="J169" s="38"/>
      <c r="L169" s="18">
        <f>SUMIFS(成品出入库表!J:J,成品出入库表!H:H,BOM清单!A169)</f>
        <v>0</v>
      </c>
      <c r="M169" s="18">
        <f t="shared" si="4"/>
        <v>0</v>
      </c>
    </row>
    <row r="170" s="3" customFormat="1" customHeight="1" spans="1:13">
      <c r="A170" s="36"/>
      <c r="B170" s="18" t="str">
        <f>IFERROR(VLOOKUP(A170,基础信息表!A:B,2,0),"")</f>
        <v/>
      </c>
      <c r="C170" s="14"/>
      <c r="D170" s="18" t="str">
        <f>IFERROR(VLOOKUP(C170,基础信息表!E:F,2,0),"")</f>
        <v/>
      </c>
      <c r="E170" s="14"/>
      <c r="F170" s="37"/>
      <c r="G170" s="37"/>
      <c r="H170" s="37"/>
      <c r="I170" s="37"/>
      <c r="J170" s="38"/>
      <c r="L170" s="18">
        <f>SUMIFS(成品出入库表!J:J,成品出入库表!H:H,BOM清单!A170)</f>
        <v>0</v>
      </c>
      <c r="M170" s="18">
        <f t="shared" si="4"/>
        <v>0</v>
      </c>
    </row>
    <row r="171" s="3" customFormat="1" customHeight="1" spans="1:13">
      <c r="A171" s="36"/>
      <c r="B171" s="18" t="str">
        <f>IFERROR(VLOOKUP(A171,基础信息表!A:B,2,0),"")</f>
        <v/>
      </c>
      <c r="C171" s="14"/>
      <c r="D171" s="18" t="str">
        <f>IFERROR(VLOOKUP(C171,基础信息表!E:F,2,0),"")</f>
        <v/>
      </c>
      <c r="E171" s="14"/>
      <c r="F171" s="37"/>
      <c r="G171" s="37"/>
      <c r="H171" s="37"/>
      <c r="I171" s="37"/>
      <c r="J171" s="38"/>
      <c r="L171" s="18">
        <f>SUMIFS(成品出入库表!J:J,成品出入库表!H:H,BOM清单!A171)</f>
        <v>0</v>
      </c>
      <c r="M171" s="18">
        <f t="shared" si="4"/>
        <v>0</v>
      </c>
    </row>
    <row r="172" s="3" customFormat="1" customHeight="1" spans="1:13">
      <c r="A172" s="36"/>
      <c r="B172" s="18" t="str">
        <f>IFERROR(VLOOKUP(A172,基础信息表!A:B,2,0),"")</f>
        <v/>
      </c>
      <c r="C172" s="14"/>
      <c r="D172" s="18" t="str">
        <f>IFERROR(VLOOKUP(C172,基础信息表!E:F,2,0),"")</f>
        <v/>
      </c>
      <c r="E172" s="14"/>
      <c r="F172" s="37"/>
      <c r="G172" s="37"/>
      <c r="H172" s="37"/>
      <c r="I172" s="37"/>
      <c r="J172" s="38"/>
      <c r="L172" s="18">
        <f>SUMIFS(成品出入库表!J:J,成品出入库表!H:H,BOM清单!A172)</f>
        <v>0</v>
      </c>
      <c r="M172" s="18">
        <f t="shared" si="4"/>
        <v>0</v>
      </c>
    </row>
    <row r="173" s="3" customFormat="1" customHeight="1" spans="1:13">
      <c r="A173" s="36"/>
      <c r="B173" s="18" t="str">
        <f>IFERROR(VLOOKUP(A173,基础信息表!A:B,2,0),"")</f>
        <v/>
      </c>
      <c r="C173" s="14"/>
      <c r="D173" s="18" t="str">
        <f>IFERROR(VLOOKUP(C173,基础信息表!E:F,2,0),"")</f>
        <v/>
      </c>
      <c r="E173" s="14"/>
      <c r="F173" s="37"/>
      <c r="G173" s="37"/>
      <c r="H173" s="37"/>
      <c r="I173" s="37"/>
      <c r="J173" s="38"/>
      <c r="L173" s="18">
        <f>SUMIFS(成品出入库表!J:J,成品出入库表!H:H,BOM清单!A173)</f>
        <v>0</v>
      </c>
      <c r="M173" s="18">
        <f t="shared" si="4"/>
        <v>0</v>
      </c>
    </row>
    <row r="174" s="3" customFormat="1" customHeight="1" spans="1:13">
      <c r="A174" s="36"/>
      <c r="B174" s="18" t="str">
        <f>IFERROR(VLOOKUP(A174,基础信息表!A:B,2,0),"")</f>
        <v/>
      </c>
      <c r="C174" s="14"/>
      <c r="D174" s="18" t="str">
        <f>IFERROR(VLOOKUP(C174,基础信息表!E:F,2,0),"")</f>
        <v/>
      </c>
      <c r="E174" s="14"/>
      <c r="F174" s="37"/>
      <c r="G174" s="37"/>
      <c r="H174" s="37"/>
      <c r="I174" s="37"/>
      <c r="J174" s="38"/>
      <c r="L174" s="18">
        <f>SUMIFS(成品出入库表!J:J,成品出入库表!H:H,BOM清单!A174)</f>
        <v>0</v>
      </c>
      <c r="M174" s="18">
        <f t="shared" si="4"/>
        <v>0</v>
      </c>
    </row>
    <row r="175" s="3" customFormat="1" customHeight="1" spans="1:13">
      <c r="A175" s="36"/>
      <c r="B175" s="18" t="str">
        <f>IFERROR(VLOOKUP(A175,基础信息表!A:B,2,0),"")</f>
        <v/>
      </c>
      <c r="C175" s="14"/>
      <c r="D175" s="18" t="str">
        <f>IFERROR(VLOOKUP(C175,基础信息表!E:F,2,0),"")</f>
        <v/>
      </c>
      <c r="E175" s="14"/>
      <c r="F175" s="37"/>
      <c r="G175" s="37"/>
      <c r="H175" s="37"/>
      <c r="I175" s="37"/>
      <c r="J175" s="38"/>
      <c r="L175" s="18">
        <f>SUMIFS(成品出入库表!J:J,成品出入库表!H:H,BOM清单!A175)</f>
        <v>0</v>
      </c>
      <c r="M175" s="18">
        <f t="shared" si="4"/>
        <v>0</v>
      </c>
    </row>
    <row r="176" s="3" customFormat="1" customHeight="1" spans="1:13">
      <c r="A176" s="36"/>
      <c r="B176" s="18" t="str">
        <f>IFERROR(VLOOKUP(A176,基础信息表!A:B,2,0),"")</f>
        <v/>
      </c>
      <c r="C176" s="14"/>
      <c r="D176" s="18" t="str">
        <f>IFERROR(VLOOKUP(C176,基础信息表!E:F,2,0),"")</f>
        <v/>
      </c>
      <c r="E176" s="14"/>
      <c r="F176" s="37"/>
      <c r="G176" s="37"/>
      <c r="H176" s="37"/>
      <c r="I176" s="37"/>
      <c r="J176" s="38"/>
      <c r="L176" s="18">
        <f>SUMIFS(成品出入库表!J:J,成品出入库表!H:H,BOM清单!A176)</f>
        <v>0</v>
      </c>
      <c r="M176" s="18">
        <f t="shared" si="4"/>
        <v>0</v>
      </c>
    </row>
    <row r="177" s="3" customFormat="1" customHeight="1" spans="1:13">
      <c r="A177" s="36"/>
      <c r="B177" s="18" t="str">
        <f>IFERROR(VLOOKUP(A177,基础信息表!A:B,2,0),"")</f>
        <v/>
      </c>
      <c r="C177" s="14"/>
      <c r="D177" s="18" t="str">
        <f>IFERROR(VLOOKUP(C177,基础信息表!E:F,2,0),"")</f>
        <v/>
      </c>
      <c r="E177" s="14"/>
      <c r="F177" s="37"/>
      <c r="G177" s="37"/>
      <c r="H177" s="37"/>
      <c r="I177" s="37"/>
      <c r="J177" s="38"/>
      <c r="L177" s="18">
        <f>SUMIFS(成品出入库表!J:J,成品出入库表!H:H,BOM清单!A177)</f>
        <v>0</v>
      </c>
      <c r="M177" s="18">
        <f t="shared" si="4"/>
        <v>0</v>
      </c>
    </row>
    <row r="178" s="3" customFormat="1" customHeight="1" spans="1:13">
      <c r="A178" s="36"/>
      <c r="B178" s="18" t="str">
        <f>IFERROR(VLOOKUP(A178,基础信息表!A:B,2,0),"")</f>
        <v/>
      </c>
      <c r="C178" s="14"/>
      <c r="D178" s="18" t="str">
        <f>IFERROR(VLOOKUP(C178,基础信息表!E:F,2,0),"")</f>
        <v/>
      </c>
      <c r="E178" s="14"/>
      <c r="F178" s="37"/>
      <c r="G178" s="37"/>
      <c r="H178" s="37"/>
      <c r="I178" s="37"/>
      <c r="J178" s="38"/>
      <c r="L178" s="18">
        <f>SUMIFS(成品出入库表!J:J,成品出入库表!H:H,BOM清单!A178)</f>
        <v>0</v>
      </c>
      <c r="M178" s="18">
        <f t="shared" si="4"/>
        <v>0</v>
      </c>
    </row>
    <row r="179" s="3" customFormat="1" customHeight="1" spans="1:13">
      <c r="A179" s="36"/>
      <c r="B179" s="18" t="str">
        <f>IFERROR(VLOOKUP(A179,基础信息表!A:B,2,0),"")</f>
        <v/>
      </c>
      <c r="C179" s="14"/>
      <c r="D179" s="18" t="str">
        <f>IFERROR(VLOOKUP(C179,基础信息表!E:F,2,0),"")</f>
        <v/>
      </c>
      <c r="E179" s="14"/>
      <c r="F179" s="37"/>
      <c r="G179" s="37"/>
      <c r="H179" s="37"/>
      <c r="I179" s="37"/>
      <c r="J179" s="38"/>
      <c r="L179" s="18">
        <f>SUMIFS(成品出入库表!J:J,成品出入库表!H:H,BOM清单!A179)</f>
        <v>0</v>
      </c>
      <c r="M179" s="18">
        <f t="shared" si="4"/>
        <v>0</v>
      </c>
    </row>
    <row r="180" s="3" customFormat="1" customHeight="1" spans="1:13">
      <c r="A180" s="36"/>
      <c r="B180" s="18" t="str">
        <f>IFERROR(VLOOKUP(A180,基础信息表!A:B,2,0),"")</f>
        <v/>
      </c>
      <c r="C180" s="14"/>
      <c r="D180" s="18" t="str">
        <f>IFERROR(VLOOKUP(C180,基础信息表!E:F,2,0),"")</f>
        <v/>
      </c>
      <c r="E180" s="14"/>
      <c r="F180" s="37"/>
      <c r="G180" s="37"/>
      <c r="H180" s="37"/>
      <c r="I180" s="37"/>
      <c r="J180" s="38"/>
      <c r="L180" s="18">
        <f>SUMIFS(成品出入库表!J:J,成品出入库表!H:H,BOM清单!A180)</f>
        <v>0</v>
      </c>
      <c r="M180" s="18">
        <f t="shared" si="4"/>
        <v>0</v>
      </c>
    </row>
    <row r="181" s="3" customFormat="1" customHeight="1" spans="1:13">
      <c r="A181" s="36"/>
      <c r="B181" s="18" t="str">
        <f>IFERROR(VLOOKUP(A181,基础信息表!A:B,2,0),"")</f>
        <v/>
      </c>
      <c r="C181" s="14"/>
      <c r="D181" s="18" t="str">
        <f>IFERROR(VLOOKUP(C181,基础信息表!E:F,2,0),"")</f>
        <v/>
      </c>
      <c r="E181" s="14"/>
      <c r="F181" s="37"/>
      <c r="G181" s="37"/>
      <c r="H181" s="37"/>
      <c r="I181" s="37"/>
      <c r="J181" s="38"/>
      <c r="L181" s="18">
        <f>SUMIFS(成品出入库表!J:J,成品出入库表!H:H,BOM清单!A181)</f>
        <v>0</v>
      </c>
      <c r="M181" s="18">
        <f t="shared" si="4"/>
        <v>0</v>
      </c>
    </row>
    <row r="182" s="3" customFormat="1" customHeight="1" spans="1:13">
      <c r="A182" s="36"/>
      <c r="B182" s="18" t="str">
        <f>IFERROR(VLOOKUP(A182,基础信息表!A:B,2,0),"")</f>
        <v/>
      </c>
      <c r="C182" s="14"/>
      <c r="D182" s="18" t="str">
        <f>IFERROR(VLOOKUP(C182,基础信息表!E:F,2,0),"")</f>
        <v/>
      </c>
      <c r="E182" s="14"/>
      <c r="F182" s="37"/>
      <c r="G182" s="37"/>
      <c r="H182" s="37"/>
      <c r="I182" s="37"/>
      <c r="J182" s="38"/>
      <c r="L182" s="18">
        <f>SUMIFS(成品出入库表!J:J,成品出入库表!H:H,BOM清单!A182)</f>
        <v>0</v>
      </c>
      <c r="M182" s="18">
        <f t="shared" si="4"/>
        <v>0</v>
      </c>
    </row>
    <row r="183" s="3" customFormat="1" customHeight="1" spans="1:13">
      <c r="A183" s="36"/>
      <c r="B183" s="18" t="str">
        <f>IFERROR(VLOOKUP(A183,基础信息表!A:B,2,0),"")</f>
        <v/>
      </c>
      <c r="C183" s="14"/>
      <c r="D183" s="18" t="str">
        <f>IFERROR(VLOOKUP(C183,基础信息表!E:F,2,0),"")</f>
        <v/>
      </c>
      <c r="E183" s="14"/>
      <c r="F183" s="37"/>
      <c r="G183" s="37"/>
      <c r="H183" s="37"/>
      <c r="I183" s="37"/>
      <c r="J183" s="38"/>
      <c r="L183" s="18">
        <f>SUMIFS(成品出入库表!J:J,成品出入库表!H:H,BOM清单!A183)</f>
        <v>0</v>
      </c>
      <c r="M183" s="18">
        <f t="shared" si="4"/>
        <v>0</v>
      </c>
    </row>
    <row r="184" s="3" customFormat="1" customHeight="1" spans="1:13">
      <c r="A184" s="36"/>
      <c r="B184" s="18" t="str">
        <f>IFERROR(VLOOKUP(A184,基础信息表!A:B,2,0),"")</f>
        <v/>
      </c>
      <c r="C184" s="14"/>
      <c r="D184" s="18" t="str">
        <f>IFERROR(VLOOKUP(C184,基础信息表!E:F,2,0),"")</f>
        <v/>
      </c>
      <c r="E184" s="14"/>
      <c r="F184" s="37"/>
      <c r="G184" s="37"/>
      <c r="H184" s="37"/>
      <c r="I184" s="37"/>
      <c r="J184" s="38"/>
      <c r="L184" s="18">
        <f>SUMIFS(成品出入库表!J:J,成品出入库表!H:H,BOM清单!A184)</f>
        <v>0</v>
      </c>
      <c r="M184" s="18">
        <f t="shared" si="4"/>
        <v>0</v>
      </c>
    </row>
    <row r="185" s="3" customFormat="1" customHeight="1" spans="1:13">
      <c r="A185" s="36"/>
      <c r="B185" s="18" t="str">
        <f>IFERROR(VLOOKUP(A185,基础信息表!A:B,2,0),"")</f>
        <v/>
      </c>
      <c r="C185" s="14"/>
      <c r="D185" s="18" t="str">
        <f>IFERROR(VLOOKUP(C185,基础信息表!E:F,2,0),"")</f>
        <v/>
      </c>
      <c r="E185" s="14"/>
      <c r="F185" s="37"/>
      <c r="G185" s="37"/>
      <c r="H185" s="37"/>
      <c r="I185" s="37"/>
      <c r="J185" s="38"/>
      <c r="L185" s="18">
        <f>SUMIFS(成品出入库表!J:J,成品出入库表!H:H,BOM清单!A185)</f>
        <v>0</v>
      </c>
      <c r="M185" s="18">
        <f t="shared" si="4"/>
        <v>0</v>
      </c>
    </row>
    <row r="186" s="3" customFormat="1" customHeight="1" spans="1:13">
      <c r="A186" s="36"/>
      <c r="B186" s="18" t="str">
        <f>IFERROR(VLOOKUP(A186,基础信息表!A:B,2,0),"")</f>
        <v/>
      </c>
      <c r="C186" s="14"/>
      <c r="D186" s="18" t="str">
        <f>IFERROR(VLOOKUP(C186,基础信息表!E:F,2,0),"")</f>
        <v/>
      </c>
      <c r="E186" s="14"/>
      <c r="F186" s="37"/>
      <c r="G186" s="37"/>
      <c r="H186" s="37"/>
      <c r="I186" s="37"/>
      <c r="J186" s="38"/>
      <c r="L186" s="18">
        <f>SUMIFS(成品出入库表!J:J,成品出入库表!H:H,BOM清单!A186)</f>
        <v>0</v>
      </c>
      <c r="M186" s="18">
        <f t="shared" si="4"/>
        <v>0</v>
      </c>
    </row>
    <row r="187" s="3" customFormat="1" customHeight="1" spans="1:13">
      <c r="A187" s="39"/>
      <c r="B187" s="40"/>
      <c r="C187" s="41"/>
      <c r="D187" s="41"/>
      <c r="E187" s="41"/>
      <c r="F187" s="42"/>
      <c r="G187" s="42"/>
      <c r="H187" s="42"/>
      <c r="I187" s="42"/>
      <c r="J187" s="43"/>
      <c r="L187" s="18">
        <f>SUMIFS(成品出入库表!J:J,成品出入库表!H:H,BOM清单!A187)</f>
        <v>0</v>
      </c>
      <c r="M187" s="18">
        <f t="shared" si="4"/>
        <v>0</v>
      </c>
    </row>
  </sheetData>
  <mergeCells count="2">
    <mergeCell ref="A1:J1"/>
    <mergeCell ref="L1:M1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L63"/>
  <sheetViews>
    <sheetView showGridLines="0" topLeftCell="C1" workbookViewId="0">
      <selection activeCell="L3" sqref="L3:L12"/>
    </sheetView>
  </sheetViews>
  <sheetFormatPr defaultColWidth="9" defaultRowHeight="15.75"/>
  <cols>
    <col min="1" max="1" width="7.50442477876106" style="3" customWidth="1"/>
    <col min="2" max="2" width="11.0265486725664" style="15" customWidth="1"/>
    <col min="3" max="3" width="11.8938053097345" style="16" customWidth="1"/>
    <col min="4" max="4" width="9.23008849557522" style="3" customWidth="1"/>
    <col min="5" max="5" width="23.3716814159292" style="3" customWidth="1"/>
    <col min="6" max="6" width="14.3451327433628" style="3" customWidth="1"/>
    <col min="7" max="7" width="14.141592920354" style="3" customWidth="1"/>
    <col min="8" max="8" width="12.4867256637168" style="3" customWidth="1"/>
    <col min="9" max="9" width="9.29203539823009" style="3" customWidth="1"/>
    <col min="10" max="10" width="10.6902654867257" style="3" customWidth="1"/>
    <col min="11" max="11" width="15.212389380531" style="3" customWidth="1"/>
    <col min="12" max="12" width="12.7522123893805" style="3" customWidth="1"/>
    <col min="13" max="16384" width="9" style="3"/>
  </cols>
  <sheetData>
    <row r="1" ht="22.5" customHeight="1" spans="1:12">
      <c r="A1" s="12" t="s">
        <v>62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="3" customFormat="1" ht="22.5" customHeight="1" spans="1:12">
      <c r="A2" s="13" t="s">
        <v>63</v>
      </c>
      <c r="B2" s="17" t="s">
        <v>64</v>
      </c>
      <c r="C2" s="17" t="s">
        <v>65</v>
      </c>
      <c r="D2" s="13" t="s">
        <v>66</v>
      </c>
      <c r="E2" s="13" t="s">
        <v>67</v>
      </c>
      <c r="F2" s="13" t="s">
        <v>52</v>
      </c>
      <c r="G2" s="13" t="s">
        <v>53</v>
      </c>
      <c r="H2" s="13" t="s">
        <v>68</v>
      </c>
      <c r="I2" s="13" t="s">
        <v>69</v>
      </c>
      <c r="J2" s="13" t="s">
        <v>7</v>
      </c>
      <c r="K2" s="13" t="s">
        <v>56</v>
      </c>
      <c r="L2" s="13" t="s">
        <v>59</v>
      </c>
    </row>
    <row r="3" s="4" customFormat="1" ht="11.5" customHeight="1" spans="1:12">
      <c r="A3" s="24">
        <v>1</v>
      </c>
      <c r="B3" s="25" t="str">
        <f>TEXT(C3,"yyyy")</f>
        <v>2026</v>
      </c>
      <c r="C3" s="26">
        <v>46156</v>
      </c>
      <c r="D3" s="27" t="s">
        <v>70</v>
      </c>
      <c r="E3" s="11"/>
      <c r="F3" s="11" t="s">
        <v>12</v>
      </c>
      <c r="G3" s="24" t="str">
        <f>IFERROR(VLOOKUP(F3,基础信息表!E:F,2,0),"")</f>
        <v>原料1</v>
      </c>
      <c r="H3" s="11"/>
      <c r="I3" s="11">
        <v>200</v>
      </c>
      <c r="J3" s="11"/>
      <c r="K3" s="11">
        <f>I3*J3</f>
        <v>0</v>
      </c>
      <c r="L3" s="11"/>
    </row>
    <row r="4" s="4" customFormat="1" ht="11.5" customHeight="1" spans="1:12">
      <c r="A4" s="24">
        <v>2</v>
      </c>
      <c r="B4" s="25" t="str">
        <f t="shared" ref="B4:B35" si="0">TEXT(C4,"yyyy")</f>
        <v>2026</v>
      </c>
      <c r="C4" s="26">
        <v>46156</v>
      </c>
      <c r="D4" s="27" t="s">
        <v>71</v>
      </c>
      <c r="E4" s="11"/>
      <c r="F4" s="11" t="s">
        <v>12</v>
      </c>
      <c r="G4" s="24" t="str">
        <f>IFERROR(VLOOKUP(F4,基础信息表!E:F,2,0),"")</f>
        <v>原料1</v>
      </c>
      <c r="H4" s="11"/>
      <c r="I4" s="11">
        <v>20</v>
      </c>
      <c r="J4" s="11"/>
      <c r="K4" s="11"/>
      <c r="L4" s="11"/>
    </row>
    <row r="5" s="4" customFormat="1" ht="11.5" customHeight="1" spans="1:12">
      <c r="A5" s="24">
        <v>3</v>
      </c>
      <c r="B5" s="25" t="str">
        <f t="shared" si="0"/>
        <v>2026</v>
      </c>
      <c r="C5" s="26">
        <v>46156</v>
      </c>
      <c r="D5" s="27" t="s">
        <v>72</v>
      </c>
      <c r="E5" s="11"/>
      <c r="F5" s="11" t="s">
        <v>20</v>
      </c>
      <c r="G5" s="24" t="str">
        <f>IFERROR(VLOOKUP(F5,基础信息表!E:F,2,0),"")</f>
        <v>原料3</v>
      </c>
      <c r="H5" s="11"/>
      <c r="I5" s="11">
        <v>20</v>
      </c>
      <c r="J5" s="11"/>
      <c r="K5" s="11"/>
      <c r="L5" s="11"/>
    </row>
    <row r="6" s="4" customFormat="1" ht="11.5" customHeight="1" spans="1:12">
      <c r="A6" s="24">
        <v>4</v>
      </c>
      <c r="B6" s="25" t="str">
        <f t="shared" si="0"/>
        <v>2026</v>
      </c>
      <c r="C6" s="26">
        <v>46156</v>
      </c>
      <c r="D6" s="27" t="s">
        <v>73</v>
      </c>
      <c r="E6" s="11"/>
      <c r="F6" s="11" t="s">
        <v>24</v>
      </c>
      <c r="G6" s="24" t="str">
        <f>IFERROR(VLOOKUP(F6,基础信息表!E:F,2,0),"")</f>
        <v>原料4</v>
      </c>
      <c r="H6" s="11"/>
      <c r="I6" s="11">
        <v>20</v>
      </c>
      <c r="J6" s="11"/>
      <c r="K6" s="11"/>
      <c r="L6" s="11"/>
    </row>
    <row r="7" s="4" customFormat="1" ht="11.5" customHeight="1" spans="1:12">
      <c r="A7" s="24">
        <v>5</v>
      </c>
      <c r="B7" s="25" t="str">
        <f t="shared" si="0"/>
        <v>2026</v>
      </c>
      <c r="C7" s="26">
        <v>46156</v>
      </c>
      <c r="D7" s="27" t="s">
        <v>71</v>
      </c>
      <c r="E7" s="11"/>
      <c r="F7" s="11" t="s">
        <v>28</v>
      </c>
      <c r="G7" s="24" t="str">
        <f>IFERROR(VLOOKUP(F7,基础信息表!E:F,2,0),"")</f>
        <v>原料5</v>
      </c>
      <c r="H7" s="11"/>
      <c r="I7" s="11">
        <v>20</v>
      </c>
      <c r="J7" s="11"/>
      <c r="K7" s="11"/>
      <c r="L7" s="11"/>
    </row>
    <row r="8" s="4" customFormat="1" ht="11.5" customHeight="1" spans="1:12">
      <c r="A8" s="24">
        <v>6</v>
      </c>
      <c r="B8" s="25" t="str">
        <f t="shared" si="0"/>
        <v>2026</v>
      </c>
      <c r="C8" s="26">
        <v>46156</v>
      </c>
      <c r="D8" s="27"/>
      <c r="E8" s="11"/>
      <c r="F8" s="11" t="s">
        <v>32</v>
      </c>
      <c r="G8" s="24" t="str">
        <f>IFERROR(VLOOKUP(F8,基础信息表!E:F,2,0),"")</f>
        <v>原料6</v>
      </c>
      <c r="H8" s="11"/>
      <c r="I8" s="11">
        <v>20</v>
      </c>
      <c r="J8" s="11"/>
      <c r="K8" s="11"/>
      <c r="L8" s="11"/>
    </row>
    <row r="9" s="4" customFormat="1" ht="11.5" customHeight="1" spans="1:12">
      <c r="A9" s="24">
        <v>7</v>
      </c>
      <c r="B9" s="25" t="str">
        <f t="shared" si="0"/>
        <v>2026</v>
      </c>
      <c r="C9" s="26">
        <v>46156</v>
      </c>
      <c r="D9" s="27"/>
      <c r="E9" s="11"/>
      <c r="F9" s="11" t="s">
        <v>36</v>
      </c>
      <c r="G9" s="24" t="str">
        <f>IFERROR(VLOOKUP(F9,基础信息表!E:F,2,0),"")</f>
        <v>原料7</v>
      </c>
      <c r="H9" s="11"/>
      <c r="I9" s="11">
        <v>20</v>
      </c>
      <c r="J9" s="11"/>
      <c r="K9" s="11"/>
      <c r="L9" s="11"/>
    </row>
    <row r="10" s="4" customFormat="1" ht="11.5" customHeight="1" spans="1:12">
      <c r="A10" s="24">
        <v>8</v>
      </c>
      <c r="B10" s="25" t="str">
        <f t="shared" si="0"/>
        <v>2026</v>
      </c>
      <c r="C10" s="26">
        <v>46156</v>
      </c>
      <c r="D10" s="27"/>
      <c r="E10" s="11"/>
      <c r="F10" s="11" t="s">
        <v>40</v>
      </c>
      <c r="G10" s="24" t="str">
        <f>IFERROR(VLOOKUP(F10,基础信息表!E:F,2,0),"")</f>
        <v>原料8</v>
      </c>
      <c r="H10" s="11"/>
      <c r="I10" s="11">
        <v>20</v>
      </c>
      <c r="J10" s="11"/>
      <c r="K10" s="11"/>
      <c r="L10" s="11"/>
    </row>
    <row r="11" s="4" customFormat="1" ht="11.5" customHeight="1" spans="1:12">
      <c r="A11" s="24">
        <v>9</v>
      </c>
      <c r="B11" s="25" t="str">
        <f t="shared" si="0"/>
        <v>2026</v>
      </c>
      <c r="C11" s="26">
        <v>46156</v>
      </c>
      <c r="D11" s="27" t="s">
        <v>70</v>
      </c>
      <c r="E11" s="11"/>
      <c r="F11" s="11" t="s">
        <v>44</v>
      </c>
      <c r="G11" s="24" t="str">
        <f>IFERROR(VLOOKUP(F11,基础信息表!E:F,2,0),"")</f>
        <v>原料9</v>
      </c>
      <c r="H11" s="11"/>
      <c r="I11" s="11">
        <v>20</v>
      </c>
      <c r="J11" s="11"/>
      <c r="K11" s="11"/>
      <c r="L11" s="11"/>
    </row>
    <row r="12" s="4" customFormat="1" ht="11.5" customHeight="1" spans="1:12">
      <c r="A12" s="24">
        <v>10</v>
      </c>
      <c r="B12" s="25" t="str">
        <f t="shared" si="0"/>
        <v>2026</v>
      </c>
      <c r="C12" s="26">
        <v>46156</v>
      </c>
      <c r="D12" s="27" t="s">
        <v>73</v>
      </c>
      <c r="E12" s="11"/>
      <c r="F12" s="11" t="s">
        <v>36</v>
      </c>
      <c r="G12" s="24" t="str">
        <f>IFERROR(VLOOKUP(F12,基础信息表!E:F,2,0),"")</f>
        <v>原料7</v>
      </c>
      <c r="H12" s="11"/>
      <c r="I12" s="11">
        <v>100</v>
      </c>
      <c r="J12" s="11"/>
      <c r="K12" s="11"/>
      <c r="L12" s="11"/>
    </row>
    <row r="13" s="4" customFormat="1" ht="11.5" customHeight="1" spans="1:12">
      <c r="A13" s="24">
        <v>11</v>
      </c>
      <c r="B13" s="25" t="str">
        <f t="shared" si="0"/>
        <v>1900</v>
      </c>
      <c r="C13" s="28"/>
      <c r="D13" s="11"/>
      <c r="E13" s="11"/>
      <c r="F13" s="11"/>
      <c r="G13" s="24" t="str">
        <f>IFERROR(VLOOKUP(F13,基础信息表!E:F,2,0),"")</f>
        <v/>
      </c>
      <c r="H13" s="11"/>
      <c r="I13" s="11"/>
      <c r="J13" s="11"/>
      <c r="K13" s="11"/>
      <c r="L13" s="11"/>
    </row>
    <row r="14" s="4" customFormat="1" ht="11.5" customHeight="1" spans="1:12">
      <c r="A14" s="24">
        <v>12</v>
      </c>
      <c r="B14" s="25" t="str">
        <f t="shared" si="0"/>
        <v>1900</v>
      </c>
      <c r="C14" s="28"/>
      <c r="D14" s="11"/>
      <c r="E14" s="11"/>
      <c r="F14" s="11"/>
      <c r="G14" s="24" t="str">
        <f>IFERROR(VLOOKUP(F14,基础信息表!E:F,2,0),"")</f>
        <v/>
      </c>
      <c r="H14" s="11"/>
      <c r="I14" s="11"/>
      <c r="J14" s="11"/>
      <c r="K14" s="11"/>
      <c r="L14" s="11"/>
    </row>
    <row r="15" s="4" customFormat="1" ht="11.5" customHeight="1" spans="1:12">
      <c r="A15" s="24">
        <v>13</v>
      </c>
      <c r="B15" s="25" t="str">
        <f t="shared" si="0"/>
        <v>1900</v>
      </c>
      <c r="C15" s="28"/>
      <c r="D15" s="11"/>
      <c r="E15" s="11"/>
      <c r="F15" s="11"/>
      <c r="G15" s="24" t="str">
        <f>IFERROR(VLOOKUP(F15,基础信息表!E:F,2,0),"")</f>
        <v/>
      </c>
      <c r="H15" s="11"/>
      <c r="I15" s="11"/>
      <c r="J15" s="11"/>
      <c r="K15" s="11"/>
      <c r="L15" s="11"/>
    </row>
    <row r="16" s="4" customFormat="1" ht="11.5" customHeight="1" spans="1:12">
      <c r="A16" s="24">
        <v>14</v>
      </c>
      <c r="B16" s="25" t="str">
        <f t="shared" si="0"/>
        <v>1900</v>
      </c>
      <c r="C16" s="28"/>
      <c r="D16" s="11"/>
      <c r="E16" s="11"/>
      <c r="F16" s="11"/>
      <c r="G16" s="24" t="str">
        <f>IFERROR(VLOOKUP(F16,基础信息表!E:F,2,0),"")</f>
        <v/>
      </c>
      <c r="H16" s="11"/>
      <c r="I16" s="11"/>
      <c r="J16" s="11"/>
      <c r="K16" s="11"/>
      <c r="L16" s="11"/>
    </row>
    <row r="17" s="4" customFormat="1" ht="11.5" customHeight="1" spans="1:12">
      <c r="A17" s="24">
        <v>15</v>
      </c>
      <c r="B17" s="25" t="str">
        <f t="shared" si="0"/>
        <v>1900</v>
      </c>
      <c r="C17" s="28"/>
      <c r="D17" s="11"/>
      <c r="E17" s="11"/>
      <c r="F17" s="11"/>
      <c r="G17" s="24" t="str">
        <f>IFERROR(VLOOKUP(F17,基础信息表!E:F,2,0),"")</f>
        <v/>
      </c>
      <c r="H17" s="11"/>
      <c r="I17" s="11"/>
      <c r="J17" s="11"/>
      <c r="K17" s="11"/>
      <c r="L17" s="11"/>
    </row>
    <row r="18" s="4" customFormat="1" ht="11.5" customHeight="1" spans="1:12">
      <c r="A18" s="24">
        <v>16</v>
      </c>
      <c r="B18" s="25" t="str">
        <f t="shared" si="0"/>
        <v>1900</v>
      </c>
      <c r="C18" s="28"/>
      <c r="D18" s="11"/>
      <c r="E18" s="11"/>
      <c r="F18" s="11"/>
      <c r="G18" s="24" t="str">
        <f>IFERROR(VLOOKUP(F18,基础信息表!E:F,2,0),"")</f>
        <v/>
      </c>
      <c r="H18" s="11"/>
      <c r="I18" s="11"/>
      <c r="J18" s="11"/>
      <c r="K18" s="11"/>
      <c r="L18" s="11"/>
    </row>
    <row r="19" s="4" customFormat="1" ht="11.5" customHeight="1" spans="1:12">
      <c r="A19" s="24">
        <v>17</v>
      </c>
      <c r="B19" s="25" t="str">
        <f t="shared" si="0"/>
        <v>1900</v>
      </c>
      <c r="C19" s="28"/>
      <c r="D19" s="11"/>
      <c r="E19" s="11"/>
      <c r="F19" s="11"/>
      <c r="G19" s="24" t="str">
        <f>IFERROR(VLOOKUP(F19,基础信息表!E:F,2,0),"")</f>
        <v/>
      </c>
      <c r="H19" s="11"/>
      <c r="I19" s="11"/>
      <c r="J19" s="11"/>
      <c r="K19" s="11"/>
      <c r="L19" s="11"/>
    </row>
    <row r="20" s="4" customFormat="1" ht="11.5" customHeight="1" spans="1:12">
      <c r="A20" s="24">
        <v>18</v>
      </c>
      <c r="B20" s="25" t="str">
        <f t="shared" si="0"/>
        <v>1900</v>
      </c>
      <c r="C20" s="28"/>
      <c r="D20" s="11"/>
      <c r="E20" s="11"/>
      <c r="F20" s="11"/>
      <c r="G20" s="24" t="str">
        <f>IFERROR(VLOOKUP(F20,基础信息表!E:F,2,0),"")</f>
        <v/>
      </c>
      <c r="H20" s="11"/>
      <c r="I20" s="11"/>
      <c r="J20" s="11"/>
      <c r="K20" s="11"/>
      <c r="L20" s="11"/>
    </row>
    <row r="21" s="4" customFormat="1" ht="11.5" customHeight="1" spans="1:12">
      <c r="A21" s="24">
        <v>19</v>
      </c>
      <c r="B21" s="25" t="str">
        <f t="shared" si="0"/>
        <v>1900</v>
      </c>
      <c r="C21" s="28"/>
      <c r="D21" s="11"/>
      <c r="E21" s="11"/>
      <c r="F21" s="11"/>
      <c r="G21" s="24" t="str">
        <f>IFERROR(VLOOKUP(F21,基础信息表!E:F,2,0),"")</f>
        <v/>
      </c>
      <c r="H21" s="11"/>
      <c r="I21" s="11"/>
      <c r="J21" s="11"/>
      <c r="K21" s="11"/>
      <c r="L21" s="11"/>
    </row>
    <row r="22" s="4" customFormat="1" ht="11.5" customHeight="1" spans="1:12">
      <c r="A22" s="24">
        <v>20</v>
      </c>
      <c r="B22" s="25" t="str">
        <f t="shared" si="0"/>
        <v>1900</v>
      </c>
      <c r="C22" s="28"/>
      <c r="D22" s="11"/>
      <c r="E22" s="11"/>
      <c r="F22" s="11"/>
      <c r="G22" s="24" t="str">
        <f>IFERROR(VLOOKUP(F22,基础信息表!E:F,2,0),"")</f>
        <v/>
      </c>
      <c r="H22" s="11"/>
      <c r="I22" s="11"/>
      <c r="J22" s="11"/>
      <c r="K22" s="11"/>
      <c r="L22" s="11"/>
    </row>
    <row r="23" s="4" customFormat="1" ht="11.5" customHeight="1" spans="1:12">
      <c r="A23" s="24">
        <v>21</v>
      </c>
      <c r="B23" s="25" t="str">
        <f t="shared" si="0"/>
        <v>1900</v>
      </c>
      <c r="C23" s="28"/>
      <c r="D23" s="11"/>
      <c r="E23" s="11"/>
      <c r="F23" s="11"/>
      <c r="G23" s="24" t="str">
        <f>IFERROR(VLOOKUP(F23,基础信息表!E:F,2,0),"")</f>
        <v/>
      </c>
      <c r="H23" s="11"/>
      <c r="I23" s="11"/>
      <c r="J23" s="11"/>
      <c r="K23" s="11"/>
      <c r="L23" s="11"/>
    </row>
    <row r="24" s="4" customFormat="1" ht="11.5" customHeight="1" spans="1:12">
      <c r="A24" s="24">
        <v>22</v>
      </c>
      <c r="B24" s="25" t="str">
        <f t="shared" si="0"/>
        <v>1900</v>
      </c>
      <c r="C24" s="28"/>
      <c r="D24" s="11"/>
      <c r="E24" s="11"/>
      <c r="F24" s="11"/>
      <c r="G24" s="24" t="str">
        <f>IFERROR(VLOOKUP(F24,基础信息表!E:F,2,0),"")</f>
        <v/>
      </c>
      <c r="H24" s="11"/>
      <c r="I24" s="11"/>
      <c r="J24" s="11"/>
      <c r="K24" s="11"/>
      <c r="L24" s="11"/>
    </row>
    <row r="25" s="4" customFormat="1" ht="11.5" customHeight="1" spans="1:12">
      <c r="A25" s="24">
        <v>23</v>
      </c>
      <c r="B25" s="25" t="str">
        <f t="shared" si="0"/>
        <v>1900</v>
      </c>
      <c r="C25" s="28"/>
      <c r="D25" s="11"/>
      <c r="E25" s="11"/>
      <c r="F25" s="11"/>
      <c r="G25" s="24" t="str">
        <f>IFERROR(VLOOKUP(F25,基础信息表!E:F,2,0),"")</f>
        <v/>
      </c>
      <c r="H25" s="11"/>
      <c r="I25" s="11"/>
      <c r="J25" s="11"/>
      <c r="K25" s="11"/>
      <c r="L25" s="11"/>
    </row>
    <row r="26" s="4" customFormat="1" ht="11.5" customHeight="1" spans="1:12">
      <c r="A26" s="24">
        <v>24</v>
      </c>
      <c r="B26" s="25" t="str">
        <f t="shared" si="0"/>
        <v>1900</v>
      </c>
      <c r="C26" s="28"/>
      <c r="D26" s="11"/>
      <c r="E26" s="11"/>
      <c r="F26" s="11"/>
      <c r="G26" s="24" t="str">
        <f>IFERROR(VLOOKUP(F26,基础信息表!E:F,2,0),"")</f>
        <v/>
      </c>
      <c r="H26" s="11"/>
      <c r="I26" s="11"/>
      <c r="J26" s="11"/>
      <c r="K26" s="11"/>
      <c r="L26" s="11"/>
    </row>
    <row r="27" s="4" customFormat="1" ht="11.5" customHeight="1" spans="1:12">
      <c r="A27" s="24">
        <v>25</v>
      </c>
      <c r="B27" s="25" t="str">
        <f t="shared" si="0"/>
        <v>1900</v>
      </c>
      <c r="C27" s="28"/>
      <c r="D27" s="11"/>
      <c r="E27" s="11"/>
      <c r="F27" s="11"/>
      <c r="G27" s="24" t="str">
        <f>IFERROR(VLOOKUP(F27,基础信息表!E:F,2,0),"")</f>
        <v/>
      </c>
      <c r="H27" s="11"/>
      <c r="I27" s="11"/>
      <c r="J27" s="11"/>
      <c r="K27" s="11"/>
      <c r="L27" s="11"/>
    </row>
    <row r="28" s="4" customFormat="1" ht="11.5" customHeight="1" spans="1:12">
      <c r="A28" s="24">
        <v>26</v>
      </c>
      <c r="B28" s="25" t="str">
        <f t="shared" si="0"/>
        <v>1900</v>
      </c>
      <c r="C28" s="28"/>
      <c r="D28" s="11"/>
      <c r="E28" s="11"/>
      <c r="F28" s="11"/>
      <c r="G28" s="24" t="str">
        <f>IFERROR(VLOOKUP(F28,基础信息表!E:F,2,0),"")</f>
        <v/>
      </c>
      <c r="H28" s="11"/>
      <c r="I28" s="11"/>
      <c r="J28" s="11"/>
      <c r="K28" s="11"/>
      <c r="L28" s="11"/>
    </row>
    <row r="29" s="4" customFormat="1" ht="11.5" customHeight="1" spans="1:12">
      <c r="A29" s="24">
        <v>27</v>
      </c>
      <c r="B29" s="25" t="str">
        <f t="shared" si="0"/>
        <v>1900</v>
      </c>
      <c r="C29" s="28"/>
      <c r="D29" s="11"/>
      <c r="E29" s="11"/>
      <c r="F29" s="11"/>
      <c r="G29" s="24" t="str">
        <f>IFERROR(VLOOKUP(F29,基础信息表!E:F,2,0),"")</f>
        <v/>
      </c>
      <c r="H29" s="11"/>
      <c r="I29" s="11"/>
      <c r="J29" s="11"/>
      <c r="K29" s="11"/>
      <c r="L29" s="11"/>
    </row>
    <row r="30" s="4" customFormat="1" ht="11.5" customHeight="1" spans="1:12">
      <c r="A30" s="24">
        <v>28</v>
      </c>
      <c r="B30" s="25" t="str">
        <f t="shared" si="0"/>
        <v>1900</v>
      </c>
      <c r="C30" s="28"/>
      <c r="D30" s="11"/>
      <c r="E30" s="11"/>
      <c r="F30" s="11"/>
      <c r="G30" s="24" t="str">
        <f>IFERROR(VLOOKUP(F30,基础信息表!E:F,2,0),"")</f>
        <v/>
      </c>
      <c r="H30" s="11"/>
      <c r="I30" s="11"/>
      <c r="J30" s="11"/>
      <c r="K30" s="11"/>
      <c r="L30" s="11"/>
    </row>
    <row r="31" s="4" customFormat="1" ht="11.5" customHeight="1" spans="1:12">
      <c r="A31" s="24">
        <v>29</v>
      </c>
      <c r="B31" s="25" t="str">
        <f t="shared" si="0"/>
        <v>1900</v>
      </c>
      <c r="C31" s="28"/>
      <c r="D31" s="11"/>
      <c r="E31" s="11"/>
      <c r="F31" s="11"/>
      <c r="G31" s="24" t="str">
        <f>IFERROR(VLOOKUP(F31,基础信息表!E:F,2,0),"")</f>
        <v/>
      </c>
      <c r="H31" s="11"/>
      <c r="I31" s="11"/>
      <c r="J31" s="11"/>
      <c r="K31" s="11"/>
      <c r="L31" s="11"/>
    </row>
    <row r="32" s="4" customFormat="1" ht="11.5" customHeight="1" spans="1:12">
      <c r="A32" s="24">
        <v>30</v>
      </c>
      <c r="B32" s="25" t="str">
        <f t="shared" si="0"/>
        <v>1900</v>
      </c>
      <c r="C32" s="28"/>
      <c r="D32" s="11"/>
      <c r="E32" s="11"/>
      <c r="F32" s="11"/>
      <c r="G32" s="24" t="str">
        <f>IFERROR(VLOOKUP(F32,基础信息表!E:F,2,0),"")</f>
        <v/>
      </c>
      <c r="H32" s="11"/>
      <c r="I32" s="11"/>
      <c r="J32" s="11"/>
      <c r="K32" s="11"/>
      <c r="L32" s="11"/>
    </row>
    <row r="33" s="4" customFormat="1" ht="11.5" customHeight="1" spans="1:12">
      <c r="A33" s="24">
        <v>31</v>
      </c>
      <c r="B33" s="25" t="str">
        <f t="shared" si="0"/>
        <v>1900</v>
      </c>
      <c r="C33" s="28"/>
      <c r="D33" s="11"/>
      <c r="E33" s="11"/>
      <c r="F33" s="11"/>
      <c r="G33" s="24" t="str">
        <f>IFERROR(VLOOKUP(F33,基础信息表!E:F,2,0),"")</f>
        <v/>
      </c>
      <c r="H33" s="11"/>
      <c r="I33" s="11"/>
      <c r="J33" s="11"/>
      <c r="K33" s="11"/>
      <c r="L33" s="11"/>
    </row>
    <row r="34" s="4" customFormat="1" ht="11.5" customHeight="1" spans="1:12">
      <c r="A34" s="24">
        <v>32</v>
      </c>
      <c r="B34" s="25" t="str">
        <f t="shared" si="0"/>
        <v>1900</v>
      </c>
      <c r="C34" s="28"/>
      <c r="D34" s="11"/>
      <c r="E34" s="11"/>
      <c r="F34" s="11"/>
      <c r="G34" s="24" t="str">
        <f>IFERROR(VLOOKUP(F34,基础信息表!E:F,2,0),"")</f>
        <v/>
      </c>
      <c r="H34" s="11"/>
      <c r="I34" s="11"/>
      <c r="J34" s="11"/>
      <c r="K34" s="11"/>
      <c r="L34" s="11"/>
    </row>
    <row r="35" s="4" customFormat="1" ht="11.5" customHeight="1" spans="1:12">
      <c r="A35" s="24">
        <v>33</v>
      </c>
      <c r="B35" s="25" t="str">
        <f t="shared" si="0"/>
        <v>1900</v>
      </c>
      <c r="C35" s="28"/>
      <c r="D35" s="11"/>
      <c r="E35" s="11"/>
      <c r="F35" s="11"/>
      <c r="G35" s="24" t="str">
        <f>IFERROR(VLOOKUP(F35,基础信息表!E:F,2,0),"")</f>
        <v/>
      </c>
      <c r="H35" s="11"/>
      <c r="I35" s="11"/>
      <c r="J35" s="11"/>
      <c r="K35" s="11"/>
      <c r="L35" s="11"/>
    </row>
    <row r="36" s="4" customFormat="1" ht="11.5" customHeight="1" spans="1:12">
      <c r="A36" s="24">
        <v>34</v>
      </c>
      <c r="B36" s="25" t="str">
        <f t="shared" ref="B36:B61" si="1">TEXT(C36,"yyyy")</f>
        <v>1900</v>
      </c>
      <c r="C36" s="28"/>
      <c r="D36" s="11"/>
      <c r="E36" s="11"/>
      <c r="F36" s="11"/>
      <c r="G36" s="24" t="str">
        <f>IFERROR(VLOOKUP(F36,基础信息表!E:F,2,0),"")</f>
        <v/>
      </c>
      <c r="H36" s="11"/>
      <c r="I36" s="11"/>
      <c r="J36" s="11"/>
      <c r="K36" s="11"/>
      <c r="L36" s="11"/>
    </row>
    <row r="37" s="4" customFormat="1" ht="11.5" customHeight="1" spans="1:12">
      <c r="A37" s="24">
        <v>35</v>
      </c>
      <c r="B37" s="25" t="str">
        <f t="shared" si="1"/>
        <v>1900</v>
      </c>
      <c r="C37" s="28"/>
      <c r="D37" s="11"/>
      <c r="E37" s="11"/>
      <c r="F37" s="11"/>
      <c r="G37" s="24" t="str">
        <f>IFERROR(VLOOKUP(F37,基础信息表!E:F,2,0),"")</f>
        <v/>
      </c>
      <c r="H37" s="11"/>
      <c r="I37" s="11"/>
      <c r="J37" s="11"/>
      <c r="K37" s="11"/>
      <c r="L37" s="11"/>
    </row>
    <row r="38" s="4" customFormat="1" ht="11.5" customHeight="1" spans="1:12">
      <c r="A38" s="24">
        <v>36</v>
      </c>
      <c r="B38" s="25" t="str">
        <f t="shared" si="1"/>
        <v>1900</v>
      </c>
      <c r="C38" s="28"/>
      <c r="D38" s="11"/>
      <c r="E38" s="11"/>
      <c r="F38" s="11"/>
      <c r="G38" s="24" t="str">
        <f>IFERROR(VLOOKUP(F38,基础信息表!E:F,2,0),"")</f>
        <v/>
      </c>
      <c r="H38" s="11"/>
      <c r="I38" s="11"/>
      <c r="J38" s="11"/>
      <c r="K38" s="11"/>
      <c r="L38" s="11"/>
    </row>
    <row r="39" s="4" customFormat="1" ht="11.5" customHeight="1" spans="1:12">
      <c r="A39" s="24">
        <v>37</v>
      </c>
      <c r="B39" s="25" t="str">
        <f t="shared" si="1"/>
        <v>1900</v>
      </c>
      <c r="C39" s="28"/>
      <c r="D39" s="11"/>
      <c r="E39" s="11"/>
      <c r="F39" s="11"/>
      <c r="G39" s="24" t="str">
        <f>IFERROR(VLOOKUP(F39,基础信息表!E:F,2,0),"")</f>
        <v/>
      </c>
      <c r="H39" s="11"/>
      <c r="I39" s="11"/>
      <c r="J39" s="11"/>
      <c r="K39" s="11"/>
      <c r="L39" s="11"/>
    </row>
    <row r="40" s="4" customFormat="1" ht="11.5" customHeight="1" spans="1:12">
      <c r="A40" s="24">
        <v>38</v>
      </c>
      <c r="B40" s="25" t="str">
        <f t="shared" si="1"/>
        <v>1900</v>
      </c>
      <c r="C40" s="28"/>
      <c r="D40" s="11"/>
      <c r="E40" s="11"/>
      <c r="F40" s="11"/>
      <c r="G40" s="24" t="str">
        <f>IFERROR(VLOOKUP(F40,基础信息表!E:F,2,0),"")</f>
        <v/>
      </c>
      <c r="H40" s="11"/>
      <c r="I40" s="11"/>
      <c r="J40" s="11"/>
      <c r="K40" s="11"/>
      <c r="L40" s="11"/>
    </row>
    <row r="41" s="4" customFormat="1" ht="11.5" customHeight="1" spans="1:12">
      <c r="A41" s="24">
        <v>39</v>
      </c>
      <c r="B41" s="25" t="str">
        <f t="shared" si="1"/>
        <v>1900</v>
      </c>
      <c r="C41" s="28"/>
      <c r="D41" s="11"/>
      <c r="E41" s="11"/>
      <c r="F41" s="11"/>
      <c r="G41" s="24" t="str">
        <f>IFERROR(VLOOKUP(F41,基础信息表!E:F,2,0),"")</f>
        <v/>
      </c>
      <c r="H41" s="11"/>
      <c r="I41" s="11"/>
      <c r="J41" s="11"/>
      <c r="K41" s="11"/>
      <c r="L41" s="11"/>
    </row>
    <row r="42" s="4" customFormat="1" ht="11.5" customHeight="1" spans="1:12">
      <c r="A42" s="24">
        <v>40</v>
      </c>
      <c r="B42" s="25" t="str">
        <f t="shared" si="1"/>
        <v>1900</v>
      </c>
      <c r="C42" s="28"/>
      <c r="D42" s="11"/>
      <c r="E42" s="11"/>
      <c r="F42" s="11"/>
      <c r="G42" s="24" t="str">
        <f>IFERROR(VLOOKUP(F42,基础信息表!E:F,2,0),"")</f>
        <v/>
      </c>
      <c r="H42" s="11"/>
      <c r="I42" s="11"/>
      <c r="J42" s="11"/>
      <c r="K42" s="11"/>
      <c r="L42" s="11"/>
    </row>
    <row r="43" s="4" customFormat="1" ht="11.5" customHeight="1" spans="1:12">
      <c r="A43" s="24">
        <v>41</v>
      </c>
      <c r="B43" s="25" t="str">
        <f t="shared" si="1"/>
        <v>1900</v>
      </c>
      <c r="C43" s="28"/>
      <c r="D43" s="11"/>
      <c r="E43" s="11"/>
      <c r="F43" s="11"/>
      <c r="G43" s="24" t="str">
        <f>IFERROR(VLOOKUP(F43,基础信息表!E:F,2,0),"")</f>
        <v/>
      </c>
      <c r="H43" s="11"/>
      <c r="I43" s="11"/>
      <c r="J43" s="11"/>
      <c r="K43" s="11"/>
      <c r="L43" s="11"/>
    </row>
    <row r="44" s="4" customFormat="1" ht="11.5" customHeight="1" spans="1:12">
      <c r="A44" s="24">
        <v>42</v>
      </c>
      <c r="B44" s="25" t="str">
        <f t="shared" si="1"/>
        <v>1900</v>
      </c>
      <c r="C44" s="28"/>
      <c r="D44" s="11"/>
      <c r="E44" s="11"/>
      <c r="F44" s="11"/>
      <c r="G44" s="24" t="str">
        <f>IFERROR(VLOOKUP(F44,基础信息表!E:F,2,0),"")</f>
        <v/>
      </c>
      <c r="H44" s="11"/>
      <c r="I44" s="11"/>
      <c r="J44" s="11"/>
      <c r="K44" s="11"/>
      <c r="L44" s="11"/>
    </row>
    <row r="45" s="4" customFormat="1" ht="11.5" customHeight="1" spans="1:12">
      <c r="A45" s="24">
        <v>43</v>
      </c>
      <c r="B45" s="25" t="str">
        <f t="shared" si="1"/>
        <v>1900</v>
      </c>
      <c r="C45" s="28"/>
      <c r="D45" s="11"/>
      <c r="E45" s="11"/>
      <c r="F45" s="11"/>
      <c r="G45" s="24" t="str">
        <f>IFERROR(VLOOKUP(F45,基础信息表!E:F,2,0),"")</f>
        <v/>
      </c>
      <c r="H45" s="11"/>
      <c r="I45" s="11"/>
      <c r="J45" s="11"/>
      <c r="K45" s="11"/>
      <c r="L45" s="11"/>
    </row>
    <row r="46" s="4" customFormat="1" ht="11.5" customHeight="1" spans="1:12">
      <c r="A46" s="24">
        <v>44</v>
      </c>
      <c r="B46" s="25" t="str">
        <f t="shared" si="1"/>
        <v>1900</v>
      </c>
      <c r="C46" s="28"/>
      <c r="D46" s="11"/>
      <c r="E46" s="11"/>
      <c r="F46" s="11"/>
      <c r="G46" s="24" t="str">
        <f>IFERROR(VLOOKUP(F46,基础信息表!E:F,2,0),"")</f>
        <v/>
      </c>
      <c r="H46" s="11"/>
      <c r="I46" s="11"/>
      <c r="J46" s="11"/>
      <c r="K46" s="11"/>
      <c r="L46" s="11"/>
    </row>
    <row r="47" s="4" customFormat="1" ht="11.5" customHeight="1" spans="1:12">
      <c r="A47" s="24">
        <v>45</v>
      </c>
      <c r="B47" s="25" t="str">
        <f t="shared" si="1"/>
        <v>1900</v>
      </c>
      <c r="C47" s="28"/>
      <c r="D47" s="11"/>
      <c r="E47" s="11"/>
      <c r="F47" s="11"/>
      <c r="G47" s="24" t="str">
        <f>IFERROR(VLOOKUP(F47,基础信息表!E:F,2,0),"")</f>
        <v/>
      </c>
      <c r="H47" s="11"/>
      <c r="I47" s="11"/>
      <c r="J47" s="11"/>
      <c r="K47" s="11"/>
      <c r="L47" s="11"/>
    </row>
    <row r="48" s="4" customFormat="1" ht="11.5" customHeight="1" spans="1:12">
      <c r="A48" s="24">
        <v>46</v>
      </c>
      <c r="B48" s="25" t="str">
        <f t="shared" si="1"/>
        <v>1900</v>
      </c>
      <c r="C48" s="28"/>
      <c r="D48" s="11"/>
      <c r="E48" s="11"/>
      <c r="F48" s="11"/>
      <c r="G48" s="24" t="str">
        <f>IFERROR(VLOOKUP(F48,基础信息表!E:F,2,0),"")</f>
        <v/>
      </c>
      <c r="H48" s="11"/>
      <c r="I48" s="11"/>
      <c r="J48" s="11"/>
      <c r="K48" s="11"/>
      <c r="L48" s="11"/>
    </row>
    <row r="49" s="4" customFormat="1" ht="11.5" customHeight="1" spans="1:12">
      <c r="A49" s="24">
        <v>47</v>
      </c>
      <c r="B49" s="25" t="str">
        <f t="shared" si="1"/>
        <v>1900</v>
      </c>
      <c r="C49" s="28"/>
      <c r="D49" s="11"/>
      <c r="E49" s="11"/>
      <c r="F49" s="11"/>
      <c r="G49" s="24" t="str">
        <f>IFERROR(VLOOKUP(F49,基础信息表!E:F,2,0),"")</f>
        <v/>
      </c>
      <c r="H49" s="11"/>
      <c r="I49" s="11"/>
      <c r="J49" s="11"/>
      <c r="K49" s="11"/>
      <c r="L49" s="11"/>
    </row>
    <row r="50" s="4" customFormat="1" ht="11.5" customHeight="1" spans="1:12">
      <c r="A50" s="24">
        <v>48</v>
      </c>
      <c r="B50" s="25" t="str">
        <f t="shared" si="1"/>
        <v>1900</v>
      </c>
      <c r="C50" s="28"/>
      <c r="D50" s="11"/>
      <c r="E50" s="11"/>
      <c r="F50" s="11"/>
      <c r="G50" s="24" t="str">
        <f>IFERROR(VLOOKUP(F50,基础信息表!E:F,2,0),"")</f>
        <v/>
      </c>
      <c r="H50" s="11"/>
      <c r="I50" s="11"/>
      <c r="J50" s="11"/>
      <c r="K50" s="11"/>
      <c r="L50" s="11"/>
    </row>
    <row r="51" s="4" customFormat="1" ht="11.5" customHeight="1" spans="1:12">
      <c r="A51" s="24">
        <v>49</v>
      </c>
      <c r="B51" s="25" t="str">
        <f t="shared" si="1"/>
        <v>1900</v>
      </c>
      <c r="C51" s="28"/>
      <c r="D51" s="11"/>
      <c r="E51" s="11"/>
      <c r="F51" s="11"/>
      <c r="G51" s="24" t="str">
        <f>IFERROR(VLOOKUP(F51,基础信息表!E:F,2,0),"")</f>
        <v/>
      </c>
      <c r="H51" s="11"/>
      <c r="I51" s="11"/>
      <c r="J51" s="11"/>
      <c r="K51" s="11"/>
      <c r="L51" s="11"/>
    </row>
    <row r="52" s="4" customFormat="1" ht="11.5" customHeight="1" spans="1:12">
      <c r="A52" s="24">
        <v>50</v>
      </c>
      <c r="B52" s="25" t="str">
        <f t="shared" si="1"/>
        <v>1900</v>
      </c>
      <c r="C52" s="28"/>
      <c r="D52" s="11"/>
      <c r="E52" s="11"/>
      <c r="F52" s="11"/>
      <c r="G52" s="24" t="str">
        <f>IFERROR(VLOOKUP(F52,基础信息表!E:F,2,0),"")</f>
        <v/>
      </c>
      <c r="H52" s="11"/>
      <c r="I52" s="11"/>
      <c r="J52" s="11"/>
      <c r="K52" s="11"/>
      <c r="L52" s="11"/>
    </row>
    <row r="53" s="4" customFormat="1" ht="11.5" customHeight="1" spans="1:12">
      <c r="A53" s="24">
        <v>51</v>
      </c>
      <c r="B53" s="25" t="str">
        <f t="shared" si="1"/>
        <v>1900</v>
      </c>
      <c r="C53" s="28"/>
      <c r="D53" s="11"/>
      <c r="E53" s="11"/>
      <c r="F53" s="11"/>
      <c r="G53" s="24" t="str">
        <f>IFERROR(VLOOKUP(F53,基础信息表!E:F,2,0),"")</f>
        <v/>
      </c>
      <c r="H53" s="11"/>
      <c r="I53" s="11"/>
      <c r="J53" s="11"/>
      <c r="K53" s="11"/>
      <c r="L53" s="11"/>
    </row>
    <row r="54" s="4" customFormat="1" ht="11.5" customHeight="1" spans="1:12">
      <c r="A54" s="24">
        <v>52</v>
      </c>
      <c r="B54" s="25" t="str">
        <f t="shared" si="1"/>
        <v>1900</v>
      </c>
      <c r="C54" s="28"/>
      <c r="D54" s="11"/>
      <c r="E54" s="11"/>
      <c r="F54" s="11"/>
      <c r="G54" s="24" t="str">
        <f>IFERROR(VLOOKUP(F54,基础信息表!E:F,2,0),"")</f>
        <v/>
      </c>
      <c r="H54" s="11"/>
      <c r="I54" s="11"/>
      <c r="J54" s="11"/>
      <c r="K54" s="11"/>
      <c r="L54" s="11"/>
    </row>
    <row r="55" s="4" customFormat="1" ht="11.5" customHeight="1" spans="1:12">
      <c r="A55" s="24">
        <v>53</v>
      </c>
      <c r="B55" s="25" t="str">
        <f t="shared" si="1"/>
        <v>1900</v>
      </c>
      <c r="C55" s="28"/>
      <c r="D55" s="11"/>
      <c r="E55" s="11"/>
      <c r="F55" s="11"/>
      <c r="G55" s="24" t="str">
        <f>IFERROR(VLOOKUP(F55,基础信息表!E:F,2,0),"")</f>
        <v/>
      </c>
      <c r="H55" s="11"/>
      <c r="I55" s="11"/>
      <c r="J55" s="11"/>
      <c r="K55" s="11"/>
      <c r="L55" s="11"/>
    </row>
    <row r="56" s="4" customFormat="1" ht="11.5" customHeight="1" spans="1:12">
      <c r="A56" s="24">
        <v>54</v>
      </c>
      <c r="B56" s="25" t="str">
        <f t="shared" si="1"/>
        <v>1900</v>
      </c>
      <c r="C56" s="28"/>
      <c r="D56" s="11"/>
      <c r="E56" s="11"/>
      <c r="F56" s="11"/>
      <c r="G56" s="24" t="str">
        <f>IFERROR(VLOOKUP(F56,基础信息表!E:F,2,0),"")</f>
        <v/>
      </c>
      <c r="H56" s="11"/>
      <c r="I56" s="11"/>
      <c r="J56" s="11"/>
      <c r="K56" s="11"/>
      <c r="L56" s="11"/>
    </row>
    <row r="57" s="4" customFormat="1" ht="11.5" customHeight="1" spans="1:12">
      <c r="A57" s="24">
        <v>55</v>
      </c>
      <c r="B57" s="25" t="str">
        <f t="shared" si="1"/>
        <v>1900</v>
      </c>
      <c r="C57" s="28"/>
      <c r="D57" s="11"/>
      <c r="E57" s="11"/>
      <c r="F57" s="11"/>
      <c r="G57" s="24" t="str">
        <f>IFERROR(VLOOKUP(F57,基础信息表!E:F,2,0),"")</f>
        <v/>
      </c>
      <c r="H57" s="11"/>
      <c r="I57" s="11"/>
      <c r="J57" s="11"/>
      <c r="K57" s="11"/>
      <c r="L57" s="11"/>
    </row>
    <row r="58" s="4" customFormat="1" ht="11.5" customHeight="1" spans="1:12">
      <c r="A58" s="24">
        <v>56</v>
      </c>
      <c r="B58" s="25" t="str">
        <f t="shared" si="1"/>
        <v>1900</v>
      </c>
      <c r="C58" s="28"/>
      <c r="D58" s="11"/>
      <c r="E58" s="11"/>
      <c r="F58" s="11"/>
      <c r="G58" s="24" t="str">
        <f>IFERROR(VLOOKUP(F58,基础信息表!E:F,2,0),"")</f>
        <v/>
      </c>
      <c r="H58" s="11"/>
      <c r="I58" s="11"/>
      <c r="J58" s="11"/>
      <c r="K58" s="11"/>
      <c r="L58" s="11"/>
    </row>
    <row r="59" s="4" customFormat="1" ht="11.5" customHeight="1" spans="1:12">
      <c r="A59" s="24">
        <v>57</v>
      </c>
      <c r="B59" s="25" t="str">
        <f t="shared" si="1"/>
        <v>1900</v>
      </c>
      <c r="C59" s="28"/>
      <c r="D59" s="11"/>
      <c r="E59" s="11"/>
      <c r="F59" s="11"/>
      <c r="G59" s="24" t="str">
        <f>IFERROR(VLOOKUP(F59,基础信息表!E:F,2,0),"")</f>
        <v/>
      </c>
      <c r="H59" s="11"/>
      <c r="I59" s="11"/>
      <c r="J59" s="11"/>
      <c r="K59" s="11"/>
      <c r="L59" s="11"/>
    </row>
    <row r="60" s="4" customFormat="1" ht="11.5" customHeight="1" spans="1:12">
      <c r="A60" s="24">
        <v>58</v>
      </c>
      <c r="B60" s="25" t="str">
        <f t="shared" si="1"/>
        <v>1900</v>
      </c>
      <c r="C60" s="28"/>
      <c r="D60" s="11"/>
      <c r="E60" s="11"/>
      <c r="F60" s="11"/>
      <c r="G60" s="24" t="str">
        <f>IFERROR(VLOOKUP(F60,基础信息表!E:F,2,0),"")</f>
        <v/>
      </c>
      <c r="H60" s="11"/>
      <c r="I60" s="11"/>
      <c r="J60" s="11"/>
      <c r="K60" s="11"/>
      <c r="L60" s="11"/>
    </row>
    <row r="61" s="4" customFormat="1" ht="11.5" customHeight="1" spans="1:12">
      <c r="A61" s="24">
        <v>59</v>
      </c>
      <c r="B61" s="25" t="str">
        <f t="shared" si="1"/>
        <v>1900</v>
      </c>
      <c r="C61" s="28"/>
      <c r="D61" s="11"/>
      <c r="E61" s="11"/>
      <c r="F61" s="11"/>
      <c r="G61" s="24" t="str">
        <f>IFERROR(VLOOKUP(F61,基础信息表!E:F,2,0),"")</f>
        <v/>
      </c>
      <c r="H61" s="11"/>
      <c r="I61" s="11"/>
      <c r="J61" s="11"/>
      <c r="K61" s="11"/>
      <c r="L61" s="11"/>
    </row>
    <row r="62" s="3" customFormat="1" ht="21" customHeight="1" spans="1:12">
      <c r="B62" s="15"/>
      <c r="C62" s="16"/>
    </row>
    <row r="63" s="3" customFormat="1" ht="21" customHeight="1" spans="1:12">
      <c r="B63" s="15"/>
      <c r="C63" s="16"/>
    </row>
  </sheetData>
  <autoFilter xmlns:etc="http://www.wps.cn/officeDocument/2017/etCustomData" ref="A2:L61" etc:filterBottomFollowUsedRange="0">
    <extLst/>
  </autoFilter>
  <mergeCells count="1">
    <mergeCell ref="A1:L1"/>
  </mergeCells>
  <dataValidations count="2">
    <dataValidation type="list" allowBlank="1" showInputMessage="1" showErrorMessage="1" sqref="D3:D1048576">
      <formula1>Sheet1!$A$2:$A$7</formula1>
    </dataValidation>
    <dataValidation type="list" allowBlank="1" showInputMessage="1" showErrorMessage="1" sqref="E3:E1048576">
      <formula1>基础信息表!$A$3:$A$9999</formula1>
    </dataValidation>
  </dataValidations>
  <pageMargins left="0.7" right="0.7" top="0.75" bottom="0.75" header="0.3" footer="0.3"/>
  <pageSetup paperSize="9" orientation="portrait" horizontalDpi="360" verticalDpi="360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N196"/>
  <sheetViews>
    <sheetView showGridLines="0" workbookViewId="0">
      <selection activeCell="A1" sqref="$A1:$XFD1048576"/>
    </sheetView>
  </sheetViews>
  <sheetFormatPr defaultColWidth="9" defaultRowHeight="15.75"/>
  <cols>
    <col min="1" max="1" width="5.87610619469027" style="3" customWidth="1"/>
    <col min="2" max="2" width="9.55752212389381" style="15" customWidth="1"/>
    <col min="3" max="3" width="15.5398230088496" style="16" customWidth="1"/>
    <col min="4" max="5" width="12.0176991150442" style="3" customWidth="1"/>
    <col min="6" max="6" width="9.89380530973451" style="3" customWidth="1"/>
    <col min="7" max="7" width="5.38053097345133" style="3" customWidth="1"/>
    <col min="8" max="9" width="20.1238938053097" style="3" customWidth="1"/>
    <col min="10" max="10" width="9.23893805309734" style="3" customWidth="1"/>
    <col min="11" max="11" width="8.30088495575221" style="3" customWidth="1"/>
    <col min="12" max="12" width="9.83185840707965" style="3" customWidth="1"/>
    <col min="13" max="13" width="10.3628318584071" style="3" customWidth="1"/>
    <col min="14" max="14" width="22.8761061946903" style="3" customWidth="1"/>
    <col min="15" max="16384" width="9" style="3"/>
  </cols>
  <sheetData>
    <row r="1" ht="22.5" customHeight="1" spans="1:14">
      <c r="A1" s="12" t="s">
        <v>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="3" customFormat="1" ht="22.5" customHeight="1" spans="1:14">
      <c r="A2" s="13" t="s">
        <v>63</v>
      </c>
      <c r="B2" s="17" t="s">
        <v>64</v>
      </c>
      <c r="C2" s="17" t="s">
        <v>75</v>
      </c>
      <c r="D2" s="13" t="s">
        <v>66</v>
      </c>
      <c r="E2" s="13" t="s">
        <v>76</v>
      </c>
      <c r="F2" s="13" t="s">
        <v>77</v>
      </c>
      <c r="G2" s="13" t="s">
        <v>78</v>
      </c>
      <c r="H2" s="13" t="s">
        <v>2</v>
      </c>
      <c r="I2" s="13" t="s">
        <v>3</v>
      </c>
      <c r="J2" s="13" t="s">
        <v>69</v>
      </c>
      <c r="K2" s="13" t="s">
        <v>4</v>
      </c>
      <c r="L2" s="13" t="s">
        <v>79</v>
      </c>
      <c r="M2" s="13" t="s">
        <v>80</v>
      </c>
      <c r="N2" s="13" t="s">
        <v>59</v>
      </c>
    </row>
    <row r="3" s="3" customFormat="1" ht="11.5" customHeight="1" spans="1:14">
      <c r="A3" s="18">
        <v>1</v>
      </c>
      <c r="B3" s="19" t="str">
        <f t="shared" ref="B3:B63" si="0">TEXT(C3,"yyyy")</f>
        <v>2026</v>
      </c>
      <c r="C3" s="20">
        <v>46155</v>
      </c>
      <c r="D3" s="14" t="s">
        <v>81</v>
      </c>
      <c r="E3" s="14" t="s">
        <v>82</v>
      </c>
      <c r="F3" s="14"/>
      <c r="G3" s="14"/>
      <c r="H3" s="14" t="s">
        <v>10</v>
      </c>
      <c r="I3" s="21" t="str">
        <f>IFERROR(VLOOKUP(H3,基础信息表!A:E,2,0),"")</f>
        <v>成品1</v>
      </c>
      <c r="J3" s="14">
        <v>10</v>
      </c>
      <c r="K3" s="14"/>
      <c r="L3" s="14">
        <f>J3*K3</f>
        <v>0</v>
      </c>
      <c r="M3" s="14"/>
      <c r="N3" s="14"/>
    </row>
    <row r="4" s="3" customFormat="1" ht="11.5" customHeight="1" spans="1:14">
      <c r="A4" s="18">
        <v>2</v>
      </c>
      <c r="B4" s="19" t="str">
        <f t="shared" si="0"/>
        <v>1900</v>
      </c>
      <c r="C4" s="22"/>
      <c r="D4" s="14" t="s">
        <v>83</v>
      </c>
      <c r="E4" s="14"/>
      <c r="F4" s="14"/>
      <c r="G4" s="14"/>
      <c r="H4" s="14" t="s">
        <v>10</v>
      </c>
      <c r="I4" s="23" t="str">
        <f>IFERROR(VLOOKUP(H4,基础信息表!A:E,2,0),"")</f>
        <v>成品1</v>
      </c>
      <c r="J4" s="14">
        <v>10</v>
      </c>
      <c r="K4" s="14"/>
      <c r="L4" s="14">
        <f t="shared" ref="L4:L35" si="1">J4*K4</f>
        <v>0</v>
      </c>
      <c r="M4" s="14"/>
      <c r="N4" s="14"/>
    </row>
    <row r="5" s="3" customFormat="1" ht="11.5" customHeight="1" spans="1:14">
      <c r="A5" s="18">
        <v>3</v>
      </c>
      <c r="B5" s="19" t="str">
        <f t="shared" si="0"/>
        <v>1900</v>
      </c>
      <c r="C5" s="22"/>
      <c r="D5" s="14" t="s">
        <v>84</v>
      </c>
      <c r="E5" s="14"/>
      <c r="F5" s="14"/>
      <c r="G5" s="14"/>
      <c r="H5" s="14" t="s">
        <v>10</v>
      </c>
      <c r="I5" s="23" t="str">
        <f>IFERROR(VLOOKUP(H5,基础信息表!A:E,2,0),"")</f>
        <v>成品1</v>
      </c>
      <c r="J5" s="14">
        <v>5</v>
      </c>
      <c r="K5" s="14"/>
      <c r="L5" s="14">
        <f t="shared" si="1"/>
        <v>0</v>
      </c>
      <c r="M5" s="14"/>
      <c r="N5" s="14"/>
    </row>
    <row r="6" s="3" customFormat="1" ht="11.5" customHeight="1" spans="1:14">
      <c r="A6" s="18">
        <v>4</v>
      </c>
      <c r="B6" s="19" t="str">
        <f t="shared" si="0"/>
        <v>1900</v>
      </c>
      <c r="C6" s="22"/>
      <c r="D6" s="14" t="s">
        <v>85</v>
      </c>
      <c r="E6" s="14"/>
      <c r="F6" s="14"/>
      <c r="G6" s="14"/>
      <c r="H6" s="14" t="s">
        <v>10</v>
      </c>
      <c r="I6" s="23" t="str">
        <f>IFERROR(VLOOKUP(H6,基础信息表!A:E,2,0),"")</f>
        <v>成品1</v>
      </c>
      <c r="J6" s="14">
        <v>8</v>
      </c>
      <c r="K6" s="14"/>
      <c r="L6" s="14">
        <f t="shared" si="1"/>
        <v>0</v>
      </c>
      <c r="M6" s="14"/>
      <c r="N6" s="14"/>
    </row>
    <row r="7" s="3" customFormat="1" ht="11.5" customHeight="1" spans="1:14">
      <c r="A7" s="18">
        <v>5</v>
      </c>
      <c r="B7" s="19" t="str">
        <f t="shared" si="0"/>
        <v>1900</v>
      </c>
      <c r="C7" s="22"/>
      <c r="D7" s="14"/>
      <c r="E7" s="14"/>
      <c r="F7" s="14"/>
      <c r="G7" s="14"/>
      <c r="H7" s="14"/>
      <c r="I7" s="23" t="str">
        <f>IFERROR(VLOOKUP(H7,基础信息表!A:E,2,0),"")</f>
        <v/>
      </c>
      <c r="J7" s="14"/>
      <c r="K7" s="14"/>
      <c r="L7" s="14">
        <f t="shared" si="1"/>
        <v>0</v>
      </c>
      <c r="M7" s="14"/>
      <c r="N7" s="14"/>
    </row>
    <row r="8" s="3" customFormat="1" ht="11.5" customHeight="1" spans="1:14">
      <c r="A8" s="18">
        <v>6</v>
      </c>
      <c r="B8" s="19" t="str">
        <f t="shared" si="0"/>
        <v>1900</v>
      </c>
      <c r="C8" s="22"/>
      <c r="D8" s="14"/>
      <c r="E8" s="14"/>
      <c r="F8" s="14"/>
      <c r="G8" s="14"/>
      <c r="H8" s="14"/>
      <c r="I8" s="23" t="str">
        <f>IFERROR(VLOOKUP(H8,基础信息表!A:E,2,0),"")</f>
        <v/>
      </c>
      <c r="J8" s="14"/>
      <c r="K8" s="14"/>
      <c r="L8" s="14">
        <f t="shared" si="1"/>
        <v>0</v>
      </c>
      <c r="M8" s="14"/>
      <c r="N8" s="14"/>
    </row>
    <row r="9" s="3" customFormat="1" ht="11.5" customHeight="1" spans="1:14">
      <c r="A9" s="18">
        <v>7</v>
      </c>
      <c r="B9" s="19" t="str">
        <f t="shared" si="0"/>
        <v>1900</v>
      </c>
      <c r="C9" s="22"/>
      <c r="D9" s="14"/>
      <c r="E9" s="14"/>
      <c r="F9" s="14"/>
      <c r="G9" s="14"/>
      <c r="H9" s="14"/>
      <c r="I9" s="23" t="str">
        <f>IFERROR(VLOOKUP(H9,基础信息表!A:E,2,0),"")</f>
        <v/>
      </c>
      <c r="J9" s="14"/>
      <c r="K9" s="14"/>
      <c r="L9" s="14">
        <f t="shared" si="1"/>
        <v>0</v>
      </c>
      <c r="M9" s="14"/>
      <c r="N9" s="14"/>
    </row>
    <row r="10" s="3" customFormat="1" ht="11.5" customHeight="1" spans="1:14">
      <c r="A10" s="18">
        <v>8</v>
      </c>
      <c r="B10" s="19" t="str">
        <f t="shared" si="0"/>
        <v>1900</v>
      </c>
      <c r="C10" s="22"/>
      <c r="D10" s="14"/>
      <c r="E10" s="14"/>
      <c r="F10" s="14"/>
      <c r="G10" s="14"/>
      <c r="H10" s="14"/>
      <c r="I10" s="23" t="str">
        <f>IFERROR(VLOOKUP(H10,基础信息表!A:E,2,0),"")</f>
        <v/>
      </c>
      <c r="J10" s="14"/>
      <c r="K10" s="14"/>
      <c r="L10" s="14">
        <f t="shared" si="1"/>
        <v>0</v>
      </c>
      <c r="M10" s="14"/>
      <c r="N10" s="14"/>
    </row>
    <row r="11" s="3" customFormat="1" ht="11.5" customHeight="1" spans="1:14">
      <c r="A11" s="18">
        <v>9</v>
      </c>
      <c r="B11" s="19" t="str">
        <f t="shared" si="0"/>
        <v>1900</v>
      </c>
      <c r="C11" s="22"/>
      <c r="D11" s="14"/>
      <c r="E11" s="14"/>
      <c r="F11" s="14"/>
      <c r="G11" s="14"/>
      <c r="H11" s="14"/>
      <c r="I11" s="23" t="str">
        <f>IFERROR(VLOOKUP(H11,基础信息表!A:E,2,0),"")</f>
        <v/>
      </c>
      <c r="J11" s="14"/>
      <c r="K11" s="14"/>
      <c r="L11" s="14">
        <f t="shared" si="1"/>
        <v>0</v>
      </c>
      <c r="M11" s="14"/>
      <c r="N11" s="14"/>
    </row>
    <row r="12" s="3" customFormat="1" ht="11.5" customHeight="1" spans="1:14">
      <c r="A12" s="18">
        <v>10</v>
      </c>
      <c r="B12" s="19" t="str">
        <f t="shared" si="0"/>
        <v>1900</v>
      </c>
      <c r="C12" s="22"/>
      <c r="D12" s="14"/>
      <c r="E12" s="14"/>
      <c r="F12" s="14"/>
      <c r="G12" s="14"/>
      <c r="H12" s="14"/>
      <c r="I12" s="23" t="str">
        <f>IFERROR(VLOOKUP(H12,基础信息表!A:E,2,0),"")</f>
        <v/>
      </c>
      <c r="J12" s="14"/>
      <c r="K12" s="14"/>
      <c r="L12" s="14">
        <f t="shared" si="1"/>
        <v>0</v>
      </c>
      <c r="M12" s="14"/>
      <c r="N12" s="14"/>
    </row>
    <row r="13" s="3" customFormat="1" ht="11.5" customHeight="1" spans="1:14">
      <c r="A13" s="18">
        <v>11</v>
      </c>
      <c r="B13" s="19" t="str">
        <f t="shared" si="0"/>
        <v>1900</v>
      </c>
      <c r="C13" s="22"/>
      <c r="D13" s="14"/>
      <c r="E13" s="14"/>
      <c r="F13" s="14"/>
      <c r="G13" s="14"/>
      <c r="H13" s="14"/>
      <c r="I13" s="23" t="str">
        <f>IFERROR(VLOOKUP(H13,基础信息表!A:E,2,0),"")</f>
        <v/>
      </c>
      <c r="J13" s="14"/>
      <c r="K13" s="14"/>
      <c r="L13" s="14">
        <f t="shared" si="1"/>
        <v>0</v>
      </c>
      <c r="M13" s="14"/>
      <c r="N13" s="14"/>
    </row>
    <row r="14" s="3" customFormat="1" ht="11.5" customHeight="1" spans="1:14">
      <c r="A14" s="18">
        <v>12</v>
      </c>
      <c r="B14" s="19" t="str">
        <f t="shared" si="0"/>
        <v>1900</v>
      </c>
      <c r="C14" s="22"/>
      <c r="D14" s="14"/>
      <c r="E14" s="14"/>
      <c r="F14" s="14"/>
      <c r="G14" s="14"/>
      <c r="H14" s="14"/>
      <c r="I14" s="23" t="str">
        <f>IFERROR(VLOOKUP(H14,基础信息表!A:E,2,0),"")</f>
        <v/>
      </c>
      <c r="J14" s="14"/>
      <c r="K14" s="14"/>
      <c r="L14" s="14">
        <f t="shared" si="1"/>
        <v>0</v>
      </c>
      <c r="M14" s="14"/>
      <c r="N14" s="14"/>
    </row>
    <row r="15" s="3" customFormat="1" ht="11.5" customHeight="1" spans="1:14">
      <c r="A15" s="18">
        <v>13</v>
      </c>
      <c r="B15" s="19" t="str">
        <f t="shared" si="0"/>
        <v>1900</v>
      </c>
      <c r="C15" s="22"/>
      <c r="D15" s="14"/>
      <c r="E15" s="14"/>
      <c r="F15" s="14"/>
      <c r="G15" s="14"/>
      <c r="H15" s="14"/>
      <c r="I15" s="23" t="str">
        <f>IFERROR(VLOOKUP(H15,基础信息表!A:E,2,0),"")</f>
        <v/>
      </c>
      <c r="J15" s="14"/>
      <c r="K15" s="14"/>
      <c r="L15" s="14">
        <f t="shared" si="1"/>
        <v>0</v>
      </c>
      <c r="M15" s="14"/>
      <c r="N15" s="14"/>
    </row>
    <row r="16" s="3" customFormat="1" ht="11.5" customHeight="1" spans="1:14">
      <c r="A16" s="18">
        <v>14</v>
      </c>
      <c r="B16" s="19" t="str">
        <f t="shared" si="0"/>
        <v>1900</v>
      </c>
      <c r="C16" s="22"/>
      <c r="D16" s="14"/>
      <c r="E16" s="14"/>
      <c r="F16" s="14"/>
      <c r="G16" s="14"/>
      <c r="H16" s="14"/>
      <c r="I16" s="23" t="str">
        <f>IFERROR(VLOOKUP(H16,基础信息表!A:E,2,0),"")</f>
        <v/>
      </c>
      <c r="J16" s="14"/>
      <c r="K16" s="14"/>
      <c r="L16" s="14">
        <f t="shared" si="1"/>
        <v>0</v>
      </c>
      <c r="M16" s="14"/>
      <c r="N16" s="14"/>
    </row>
    <row r="17" s="3" customFormat="1" ht="11.5" customHeight="1" spans="1:14">
      <c r="A17" s="18">
        <v>15</v>
      </c>
      <c r="B17" s="19" t="str">
        <f t="shared" si="0"/>
        <v>1900</v>
      </c>
      <c r="C17" s="22"/>
      <c r="D17" s="14"/>
      <c r="E17" s="14"/>
      <c r="F17" s="14"/>
      <c r="G17" s="14"/>
      <c r="H17" s="14"/>
      <c r="I17" s="23" t="str">
        <f>IFERROR(VLOOKUP(H17,基础信息表!A:E,2,0),"")</f>
        <v/>
      </c>
      <c r="J17" s="14"/>
      <c r="K17" s="14"/>
      <c r="L17" s="14">
        <f t="shared" si="1"/>
        <v>0</v>
      </c>
      <c r="M17" s="14"/>
      <c r="N17" s="14"/>
    </row>
    <row r="18" s="3" customFormat="1" ht="11.5" customHeight="1" spans="1:14">
      <c r="A18" s="18">
        <v>16</v>
      </c>
      <c r="B18" s="19" t="str">
        <f t="shared" si="0"/>
        <v>1900</v>
      </c>
      <c r="C18" s="22"/>
      <c r="D18" s="14"/>
      <c r="E18" s="14"/>
      <c r="F18" s="14"/>
      <c r="G18" s="14"/>
      <c r="H18" s="14"/>
      <c r="I18" s="23" t="str">
        <f>IFERROR(VLOOKUP(H18,基础信息表!A:E,2,0),"")</f>
        <v/>
      </c>
      <c r="J18" s="14"/>
      <c r="K18" s="14"/>
      <c r="L18" s="14">
        <f t="shared" si="1"/>
        <v>0</v>
      </c>
      <c r="M18" s="14"/>
      <c r="N18" s="14"/>
    </row>
    <row r="19" s="3" customFormat="1" ht="11.5" customHeight="1" spans="1:14">
      <c r="A19" s="18">
        <v>17</v>
      </c>
      <c r="B19" s="19" t="str">
        <f t="shared" si="0"/>
        <v>1900</v>
      </c>
      <c r="C19" s="22"/>
      <c r="D19" s="14"/>
      <c r="E19" s="14"/>
      <c r="F19" s="14"/>
      <c r="G19" s="14"/>
      <c r="H19" s="14"/>
      <c r="I19" s="23" t="str">
        <f>IFERROR(VLOOKUP(H19,基础信息表!A:E,2,0),"")</f>
        <v/>
      </c>
      <c r="J19" s="14"/>
      <c r="K19" s="14"/>
      <c r="L19" s="14">
        <f t="shared" si="1"/>
        <v>0</v>
      </c>
      <c r="M19" s="14"/>
      <c r="N19" s="14"/>
    </row>
    <row r="20" s="3" customFormat="1" ht="11.5" customHeight="1" spans="1:14">
      <c r="A20" s="18">
        <v>18</v>
      </c>
      <c r="B20" s="19" t="str">
        <f t="shared" si="0"/>
        <v>1900</v>
      </c>
      <c r="C20" s="22"/>
      <c r="D20" s="14"/>
      <c r="E20" s="14"/>
      <c r="F20" s="14"/>
      <c r="G20" s="14"/>
      <c r="H20" s="14"/>
      <c r="I20" s="23" t="str">
        <f>IFERROR(VLOOKUP(H20,基础信息表!A:E,2,0),"")</f>
        <v/>
      </c>
      <c r="J20" s="14"/>
      <c r="K20" s="14"/>
      <c r="L20" s="14">
        <f t="shared" si="1"/>
        <v>0</v>
      </c>
      <c r="M20" s="14"/>
      <c r="N20" s="14"/>
    </row>
    <row r="21" s="3" customFormat="1" ht="11.5" customHeight="1" spans="1:14">
      <c r="A21" s="18">
        <v>19</v>
      </c>
      <c r="B21" s="19" t="str">
        <f t="shared" si="0"/>
        <v>1900</v>
      </c>
      <c r="C21" s="22"/>
      <c r="D21" s="14"/>
      <c r="E21" s="14"/>
      <c r="F21" s="14"/>
      <c r="G21" s="14"/>
      <c r="H21" s="14"/>
      <c r="I21" s="23" t="str">
        <f>IFERROR(VLOOKUP(H21,基础信息表!A:E,2,0),"")</f>
        <v/>
      </c>
      <c r="J21" s="14"/>
      <c r="K21" s="14"/>
      <c r="L21" s="14">
        <f t="shared" si="1"/>
        <v>0</v>
      </c>
      <c r="M21" s="14"/>
      <c r="N21" s="14"/>
    </row>
    <row r="22" s="3" customFormat="1" ht="11.5" customHeight="1" spans="1:14">
      <c r="A22" s="18">
        <v>20</v>
      </c>
      <c r="B22" s="19" t="str">
        <f t="shared" si="0"/>
        <v>1900</v>
      </c>
      <c r="C22" s="22"/>
      <c r="D22" s="14"/>
      <c r="E22" s="14"/>
      <c r="F22" s="14"/>
      <c r="G22" s="14"/>
      <c r="H22" s="14"/>
      <c r="I22" s="23" t="str">
        <f>IFERROR(VLOOKUP(H22,基础信息表!A:E,2,0),"")</f>
        <v/>
      </c>
      <c r="J22" s="14"/>
      <c r="K22" s="14"/>
      <c r="L22" s="14">
        <f t="shared" si="1"/>
        <v>0</v>
      </c>
      <c r="M22" s="14"/>
      <c r="N22" s="14"/>
    </row>
    <row r="23" s="3" customFormat="1" ht="11.5" customHeight="1" spans="1:14">
      <c r="A23" s="18">
        <v>21</v>
      </c>
      <c r="B23" s="19" t="str">
        <f t="shared" si="0"/>
        <v>1900</v>
      </c>
      <c r="C23" s="22"/>
      <c r="D23" s="14"/>
      <c r="E23" s="14"/>
      <c r="F23" s="14"/>
      <c r="G23" s="14"/>
      <c r="H23" s="14"/>
      <c r="I23" s="23" t="str">
        <f>IFERROR(VLOOKUP(H23,基础信息表!A:E,2,0),"")</f>
        <v/>
      </c>
      <c r="J23" s="14"/>
      <c r="K23" s="14"/>
      <c r="L23" s="14">
        <f t="shared" si="1"/>
        <v>0</v>
      </c>
      <c r="M23" s="14"/>
      <c r="N23" s="14"/>
    </row>
    <row r="24" s="3" customFormat="1" ht="11.5" customHeight="1" spans="1:14">
      <c r="A24" s="18">
        <v>22</v>
      </c>
      <c r="B24" s="19" t="str">
        <f t="shared" si="0"/>
        <v>1900</v>
      </c>
      <c r="C24" s="22"/>
      <c r="D24" s="14"/>
      <c r="E24" s="14"/>
      <c r="F24" s="14"/>
      <c r="G24" s="14"/>
      <c r="H24" s="14"/>
      <c r="I24" s="23" t="str">
        <f>IFERROR(VLOOKUP(H24,基础信息表!A:E,2,0),"")</f>
        <v/>
      </c>
      <c r="J24" s="14"/>
      <c r="K24" s="14"/>
      <c r="L24" s="14">
        <f t="shared" si="1"/>
        <v>0</v>
      </c>
      <c r="M24" s="14"/>
      <c r="N24" s="14"/>
    </row>
    <row r="25" s="3" customFormat="1" ht="11.5" customHeight="1" spans="1:14">
      <c r="A25" s="18">
        <v>23</v>
      </c>
      <c r="B25" s="19" t="str">
        <f t="shared" si="0"/>
        <v>1900</v>
      </c>
      <c r="C25" s="22"/>
      <c r="D25" s="14"/>
      <c r="E25" s="14"/>
      <c r="F25" s="14"/>
      <c r="G25" s="14"/>
      <c r="H25" s="14"/>
      <c r="I25" s="23" t="str">
        <f>IFERROR(VLOOKUP(H25,基础信息表!A:E,2,0),"")</f>
        <v/>
      </c>
      <c r="J25" s="14"/>
      <c r="K25" s="14"/>
      <c r="L25" s="14">
        <f t="shared" si="1"/>
        <v>0</v>
      </c>
      <c r="M25" s="14"/>
      <c r="N25" s="14"/>
    </row>
    <row r="26" s="3" customFormat="1" ht="11.5" customHeight="1" spans="1:14">
      <c r="A26" s="18">
        <v>24</v>
      </c>
      <c r="B26" s="19" t="str">
        <f t="shared" si="0"/>
        <v>1900</v>
      </c>
      <c r="C26" s="22"/>
      <c r="D26" s="14"/>
      <c r="E26" s="14"/>
      <c r="F26" s="14"/>
      <c r="G26" s="14"/>
      <c r="H26" s="14"/>
      <c r="I26" s="23" t="str">
        <f>IFERROR(VLOOKUP(H26,基础信息表!A:E,2,0),"")</f>
        <v/>
      </c>
      <c r="J26" s="14"/>
      <c r="K26" s="14"/>
      <c r="L26" s="14">
        <f t="shared" si="1"/>
        <v>0</v>
      </c>
      <c r="M26" s="14"/>
      <c r="N26" s="14"/>
    </row>
    <row r="27" s="3" customFormat="1" ht="11.5" customHeight="1" spans="1:14">
      <c r="A27" s="18">
        <v>25</v>
      </c>
      <c r="B27" s="19" t="str">
        <f t="shared" si="0"/>
        <v>1900</v>
      </c>
      <c r="C27" s="22"/>
      <c r="D27" s="14"/>
      <c r="E27" s="14"/>
      <c r="F27" s="14"/>
      <c r="G27" s="14"/>
      <c r="H27" s="14"/>
      <c r="I27" s="23" t="str">
        <f>IFERROR(VLOOKUP(H27,基础信息表!A:E,2,0),"")</f>
        <v/>
      </c>
      <c r="J27" s="14"/>
      <c r="K27" s="14"/>
      <c r="L27" s="14">
        <f t="shared" si="1"/>
        <v>0</v>
      </c>
      <c r="M27" s="14"/>
      <c r="N27" s="14"/>
    </row>
    <row r="28" s="3" customFormat="1" ht="11.5" customHeight="1" spans="1:14">
      <c r="A28" s="18">
        <v>26</v>
      </c>
      <c r="B28" s="19" t="str">
        <f t="shared" si="0"/>
        <v>1900</v>
      </c>
      <c r="C28" s="22"/>
      <c r="D28" s="14"/>
      <c r="E28" s="14"/>
      <c r="F28" s="14"/>
      <c r="G28" s="14"/>
      <c r="H28" s="14"/>
      <c r="I28" s="23" t="str">
        <f>IFERROR(VLOOKUP(H28,基础信息表!A:E,2,0),"")</f>
        <v/>
      </c>
      <c r="J28" s="14"/>
      <c r="K28" s="14"/>
      <c r="L28" s="14">
        <f t="shared" si="1"/>
        <v>0</v>
      </c>
      <c r="M28" s="14"/>
      <c r="N28" s="14"/>
    </row>
    <row r="29" s="3" customFormat="1" ht="11.5" customHeight="1" spans="1:14">
      <c r="A29" s="18">
        <v>27</v>
      </c>
      <c r="B29" s="19" t="str">
        <f t="shared" si="0"/>
        <v>1900</v>
      </c>
      <c r="C29" s="22"/>
      <c r="D29" s="14"/>
      <c r="E29" s="14"/>
      <c r="F29" s="14"/>
      <c r="G29" s="14"/>
      <c r="H29" s="14"/>
      <c r="I29" s="23" t="str">
        <f>IFERROR(VLOOKUP(H29,基础信息表!A:E,2,0),"")</f>
        <v/>
      </c>
      <c r="J29" s="14"/>
      <c r="K29" s="14"/>
      <c r="L29" s="14">
        <f t="shared" si="1"/>
        <v>0</v>
      </c>
      <c r="M29" s="14"/>
      <c r="N29" s="14"/>
    </row>
    <row r="30" s="3" customFormat="1" ht="11.5" customHeight="1" spans="1:14">
      <c r="A30" s="18">
        <v>28</v>
      </c>
      <c r="B30" s="19" t="str">
        <f t="shared" si="0"/>
        <v>1900</v>
      </c>
      <c r="C30" s="22"/>
      <c r="D30" s="14"/>
      <c r="E30" s="14"/>
      <c r="F30" s="14"/>
      <c r="G30" s="14"/>
      <c r="H30" s="14"/>
      <c r="I30" s="23" t="str">
        <f>IFERROR(VLOOKUP(H30,基础信息表!A:E,2,0),"")</f>
        <v/>
      </c>
      <c r="J30" s="14"/>
      <c r="K30" s="14"/>
      <c r="L30" s="14">
        <f t="shared" si="1"/>
        <v>0</v>
      </c>
      <c r="M30" s="14"/>
      <c r="N30" s="14"/>
    </row>
    <row r="31" s="3" customFormat="1" ht="11.5" customHeight="1" spans="1:14">
      <c r="A31" s="18">
        <v>29</v>
      </c>
      <c r="B31" s="19" t="str">
        <f t="shared" si="0"/>
        <v>1900</v>
      </c>
      <c r="C31" s="22"/>
      <c r="D31" s="14"/>
      <c r="E31" s="14"/>
      <c r="F31" s="14"/>
      <c r="G31" s="14"/>
      <c r="H31" s="14"/>
      <c r="I31" s="23" t="str">
        <f>IFERROR(VLOOKUP(H31,基础信息表!A:E,2,0),"")</f>
        <v/>
      </c>
      <c r="J31" s="14"/>
      <c r="K31" s="14"/>
      <c r="L31" s="14">
        <f t="shared" si="1"/>
        <v>0</v>
      </c>
      <c r="M31" s="14"/>
      <c r="N31" s="14"/>
    </row>
    <row r="32" s="3" customFormat="1" ht="11.5" customHeight="1" spans="1:14">
      <c r="A32" s="18">
        <v>30</v>
      </c>
      <c r="B32" s="19" t="str">
        <f t="shared" si="0"/>
        <v>1900</v>
      </c>
      <c r="C32" s="22"/>
      <c r="D32" s="14"/>
      <c r="E32" s="14"/>
      <c r="F32" s="14"/>
      <c r="G32" s="14"/>
      <c r="H32" s="14"/>
      <c r="I32" s="23" t="str">
        <f>IFERROR(VLOOKUP(H32,基础信息表!A:E,2,0),"")</f>
        <v/>
      </c>
      <c r="J32" s="14"/>
      <c r="K32" s="14"/>
      <c r="L32" s="14">
        <f t="shared" si="1"/>
        <v>0</v>
      </c>
      <c r="M32" s="14"/>
      <c r="N32" s="14"/>
    </row>
    <row r="33" s="3" customFormat="1" ht="11.5" customHeight="1" spans="1:14">
      <c r="A33" s="18">
        <v>31</v>
      </c>
      <c r="B33" s="19" t="str">
        <f t="shared" si="0"/>
        <v>1900</v>
      </c>
      <c r="C33" s="22"/>
      <c r="D33" s="14"/>
      <c r="E33" s="14"/>
      <c r="F33" s="14"/>
      <c r="G33" s="14"/>
      <c r="H33" s="14"/>
      <c r="I33" s="23" t="str">
        <f>IFERROR(VLOOKUP(H33,基础信息表!A:E,2,0),"")</f>
        <v/>
      </c>
      <c r="J33" s="14"/>
      <c r="K33" s="14"/>
      <c r="L33" s="14">
        <f t="shared" si="1"/>
        <v>0</v>
      </c>
      <c r="M33" s="14"/>
      <c r="N33" s="14"/>
    </row>
    <row r="34" s="3" customFormat="1" ht="11.5" customHeight="1" spans="1:14">
      <c r="A34" s="18">
        <v>32</v>
      </c>
      <c r="B34" s="19" t="str">
        <f t="shared" si="0"/>
        <v>1900</v>
      </c>
      <c r="C34" s="22"/>
      <c r="D34" s="14"/>
      <c r="E34" s="14"/>
      <c r="F34" s="14"/>
      <c r="G34" s="14"/>
      <c r="H34" s="14"/>
      <c r="I34" s="23" t="str">
        <f>IFERROR(VLOOKUP(H34,基础信息表!A:E,2,0),"")</f>
        <v/>
      </c>
      <c r="J34" s="14"/>
      <c r="K34" s="14"/>
      <c r="L34" s="14">
        <f t="shared" si="1"/>
        <v>0</v>
      </c>
      <c r="M34" s="14"/>
      <c r="N34" s="14"/>
    </row>
    <row r="35" s="3" customFormat="1" ht="11.5" customHeight="1" spans="1:14">
      <c r="A35" s="18">
        <v>33</v>
      </c>
      <c r="B35" s="19" t="str">
        <f t="shared" si="0"/>
        <v>1900</v>
      </c>
      <c r="C35" s="22"/>
      <c r="D35" s="14"/>
      <c r="E35" s="14"/>
      <c r="F35" s="14"/>
      <c r="G35" s="14"/>
      <c r="H35" s="14"/>
      <c r="I35" s="23" t="str">
        <f>IFERROR(VLOOKUP(H35,基础信息表!A:E,2,0),"")</f>
        <v/>
      </c>
      <c r="J35" s="14"/>
      <c r="K35" s="14"/>
      <c r="L35" s="14">
        <f t="shared" si="1"/>
        <v>0</v>
      </c>
      <c r="M35" s="14"/>
      <c r="N35" s="14"/>
    </row>
    <row r="36" s="3" customFormat="1" ht="11.5" customHeight="1" spans="1:14">
      <c r="A36" s="18">
        <v>34</v>
      </c>
      <c r="B36" s="19" t="str">
        <f t="shared" si="0"/>
        <v>1900</v>
      </c>
      <c r="C36" s="22"/>
      <c r="D36" s="14"/>
      <c r="E36" s="14"/>
      <c r="F36" s="14"/>
      <c r="G36" s="14"/>
      <c r="H36" s="14"/>
      <c r="I36" s="23" t="str">
        <f>IFERROR(VLOOKUP(H36,基础信息表!A:E,2,0),"")</f>
        <v/>
      </c>
      <c r="J36" s="14"/>
      <c r="K36" s="14"/>
      <c r="L36" s="14">
        <f t="shared" ref="L36:L63" si="2">J36*K36</f>
        <v>0</v>
      </c>
      <c r="M36" s="14"/>
      <c r="N36" s="14"/>
    </row>
    <row r="37" s="3" customFormat="1" ht="11.5" customHeight="1" spans="1:14">
      <c r="A37" s="18">
        <v>35</v>
      </c>
      <c r="B37" s="19" t="str">
        <f t="shared" si="0"/>
        <v>1900</v>
      </c>
      <c r="C37" s="22"/>
      <c r="D37" s="14"/>
      <c r="E37" s="14"/>
      <c r="F37" s="14"/>
      <c r="G37" s="14"/>
      <c r="H37" s="14"/>
      <c r="I37" s="23" t="str">
        <f>IFERROR(VLOOKUP(H37,基础信息表!A:E,2,0),"")</f>
        <v/>
      </c>
      <c r="J37" s="14"/>
      <c r="K37" s="14"/>
      <c r="L37" s="14">
        <f t="shared" si="2"/>
        <v>0</v>
      </c>
      <c r="M37" s="14"/>
      <c r="N37" s="14"/>
    </row>
    <row r="38" s="3" customFormat="1" ht="11.5" customHeight="1" spans="1:14">
      <c r="A38" s="18">
        <v>36</v>
      </c>
      <c r="B38" s="19" t="str">
        <f t="shared" si="0"/>
        <v>1900</v>
      </c>
      <c r="C38" s="22"/>
      <c r="D38" s="14"/>
      <c r="E38" s="14"/>
      <c r="F38" s="14"/>
      <c r="G38" s="14"/>
      <c r="H38" s="14"/>
      <c r="I38" s="23" t="str">
        <f>IFERROR(VLOOKUP(H38,基础信息表!A:E,2,0),"")</f>
        <v/>
      </c>
      <c r="J38" s="14"/>
      <c r="K38" s="14"/>
      <c r="L38" s="14">
        <f t="shared" si="2"/>
        <v>0</v>
      </c>
      <c r="M38" s="14"/>
      <c r="N38" s="14"/>
    </row>
    <row r="39" s="3" customFormat="1" ht="11.5" customHeight="1" spans="1:14">
      <c r="A39" s="18">
        <v>37</v>
      </c>
      <c r="B39" s="19" t="str">
        <f t="shared" si="0"/>
        <v>1900</v>
      </c>
      <c r="C39" s="22"/>
      <c r="D39" s="14"/>
      <c r="E39" s="14"/>
      <c r="F39" s="14"/>
      <c r="G39" s="14"/>
      <c r="H39" s="14"/>
      <c r="I39" s="23" t="str">
        <f>IFERROR(VLOOKUP(H39,基础信息表!A:E,2,0),"")</f>
        <v/>
      </c>
      <c r="J39" s="14"/>
      <c r="K39" s="14"/>
      <c r="L39" s="14">
        <f t="shared" si="2"/>
        <v>0</v>
      </c>
      <c r="M39" s="14"/>
      <c r="N39" s="14"/>
    </row>
    <row r="40" s="3" customFormat="1" ht="11.5" customHeight="1" spans="1:14">
      <c r="A40" s="18">
        <v>38</v>
      </c>
      <c r="B40" s="19" t="str">
        <f t="shared" si="0"/>
        <v>1900</v>
      </c>
      <c r="C40" s="22"/>
      <c r="D40" s="14"/>
      <c r="E40" s="14"/>
      <c r="F40" s="14"/>
      <c r="G40" s="14"/>
      <c r="H40" s="14"/>
      <c r="I40" s="23" t="str">
        <f>IFERROR(VLOOKUP(H40,基础信息表!A:E,2,0),"")</f>
        <v/>
      </c>
      <c r="J40" s="14"/>
      <c r="K40" s="14"/>
      <c r="L40" s="14">
        <f t="shared" si="2"/>
        <v>0</v>
      </c>
      <c r="M40" s="14"/>
      <c r="N40" s="14"/>
    </row>
    <row r="41" s="3" customFormat="1" ht="11.5" customHeight="1" spans="1:14">
      <c r="A41" s="18">
        <v>39</v>
      </c>
      <c r="B41" s="19" t="str">
        <f t="shared" si="0"/>
        <v>1900</v>
      </c>
      <c r="C41" s="22"/>
      <c r="D41" s="14"/>
      <c r="E41" s="14"/>
      <c r="F41" s="14"/>
      <c r="G41" s="14"/>
      <c r="H41" s="14"/>
      <c r="I41" s="23" t="str">
        <f>IFERROR(VLOOKUP(H41,基础信息表!A:E,2,0),"")</f>
        <v/>
      </c>
      <c r="J41" s="14"/>
      <c r="K41" s="14"/>
      <c r="L41" s="14">
        <f t="shared" si="2"/>
        <v>0</v>
      </c>
      <c r="M41" s="14"/>
      <c r="N41" s="14"/>
    </row>
    <row r="42" s="3" customFormat="1" ht="11.5" customHeight="1" spans="1:14">
      <c r="A42" s="18">
        <v>40</v>
      </c>
      <c r="B42" s="19" t="str">
        <f t="shared" si="0"/>
        <v>1900</v>
      </c>
      <c r="C42" s="22"/>
      <c r="D42" s="14"/>
      <c r="E42" s="14"/>
      <c r="F42" s="14"/>
      <c r="G42" s="14"/>
      <c r="H42" s="14"/>
      <c r="I42" s="23" t="str">
        <f>IFERROR(VLOOKUP(H42,基础信息表!A:E,2,0),"")</f>
        <v/>
      </c>
      <c r="J42" s="14"/>
      <c r="K42" s="14"/>
      <c r="L42" s="14">
        <f t="shared" si="2"/>
        <v>0</v>
      </c>
      <c r="M42" s="14"/>
      <c r="N42" s="14"/>
    </row>
    <row r="43" s="3" customFormat="1" ht="11.5" customHeight="1" spans="1:14">
      <c r="A43" s="18">
        <v>41</v>
      </c>
      <c r="B43" s="19" t="str">
        <f t="shared" si="0"/>
        <v>1900</v>
      </c>
      <c r="C43" s="22"/>
      <c r="D43" s="14"/>
      <c r="E43" s="14"/>
      <c r="F43" s="14"/>
      <c r="G43" s="14"/>
      <c r="H43" s="14"/>
      <c r="I43" s="23" t="str">
        <f>IFERROR(VLOOKUP(H43,基础信息表!A:E,2,0),"")</f>
        <v/>
      </c>
      <c r="J43" s="14"/>
      <c r="K43" s="14"/>
      <c r="L43" s="14">
        <f t="shared" si="2"/>
        <v>0</v>
      </c>
      <c r="M43" s="14"/>
      <c r="N43" s="14"/>
    </row>
    <row r="44" s="3" customFormat="1" ht="11.5" customHeight="1" spans="1:14">
      <c r="A44" s="18">
        <v>42</v>
      </c>
      <c r="B44" s="19" t="str">
        <f t="shared" si="0"/>
        <v>1900</v>
      </c>
      <c r="C44" s="22"/>
      <c r="D44" s="14"/>
      <c r="E44" s="14"/>
      <c r="F44" s="14"/>
      <c r="G44" s="14"/>
      <c r="H44" s="14"/>
      <c r="I44" s="23" t="str">
        <f>IFERROR(VLOOKUP(H44,基础信息表!A:E,2,0),"")</f>
        <v/>
      </c>
      <c r="J44" s="14"/>
      <c r="K44" s="14"/>
      <c r="L44" s="14">
        <f t="shared" si="2"/>
        <v>0</v>
      </c>
      <c r="M44" s="14"/>
      <c r="N44" s="14"/>
    </row>
    <row r="45" s="3" customFormat="1" ht="11.5" customHeight="1" spans="1:14">
      <c r="A45" s="18">
        <v>43</v>
      </c>
      <c r="B45" s="19" t="str">
        <f t="shared" si="0"/>
        <v>1900</v>
      </c>
      <c r="C45" s="22"/>
      <c r="D45" s="14"/>
      <c r="E45" s="14"/>
      <c r="F45" s="14"/>
      <c r="G45" s="14"/>
      <c r="H45" s="14"/>
      <c r="I45" s="23" t="str">
        <f>IFERROR(VLOOKUP(H45,基础信息表!A:E,2,0),"")</f>
        <v/>
      </c>
      <c r="J45" s="14"/>
      <c r="K45" s="14"/>
      <c r="L45" s="14">
        <f t="shared" si="2"/>
        <v>0</v>
      </c>
      <c r="M45" s="14"/>
      <c r="N45" s="14"/>
    </row>
    <row r="46" s="3" customFormat="1" ht="11.5" customHeight="1" spans="1:14">
      <c r="A46" s="18">
        <v>44</v>
      </c>
      <c r="B46" s="19" t="str">
        <f t="shared" si="0"/>
        <v>1900</v>
      </c>
      <c r="C46" s="22"/>
      <c r="D46" s="14"/>
      <c r="E46" s="14"/>
      <c r="F46" s="14"/>
      <c r="G46" s="14"/>
      <c r="H46" s="14"/>
      <c r="I46" s="23" t="str">
        <f>IFERROR(VLOOKUP(H46,基础信息表!A:E,2,0),"")</f>
        <v/>
      </c>
      <c r="J46" s="14"/>
      <c r="K46" s="14"/>
      <c r="L46" s="14">
        <f t="shared" si="2"/>
        <v>0</v>
      </c>
      <c r="M46" s="14"/>
      <c r="N46" s="14"/>
    </row>
    <row r="47" s="3" customFormat="1" ht="11.5" customHeight="1" spans="1:14">
      <c r="A47" s="18">
        <v>45</v>
      </c>
      <c r="B47" s="19" t="str">
        <f t="shared" si="0"/>
        <v>1900</v>
      </c>
      <c r="C47" s="22"/>
      <c r="D47" s="14"/>
      <c r="E47" s="14"/>
      <c r="F47" s="14"/>
      <c r="G47" s="14"/>
      <c r="H47" s="14"/>
      <c r="I47" s="23" t="str">
        <f>IFERROR(VLOOKUP(H47,基础信息表!A:E,2,0),"")</f>
        <v/>
      </c>
      <c r="J47" s="14"/>
      <c r="K47" s="14"/>
      <c r="L47" s="14">
        <f t="shared" si="2"/>
        <v>0</v>
      </c>
      <c r="M47" s="14"/>
      <c r="N47" s="14"/>
    </row>
    <row r="48" s="3" customFormat="1" ht="11.5" customHeight="1" spans="1:14">
      <c r="A48" s="18">
        <v>46</v>
      </c>
      <c r="B48" s="19" t="str">
        <f t="shared" si="0"/>
        <v>1900</v>
      </c>
      <c r="C48" s="22"/>
      <c r="D48" s="14"/>
      <c r="E48" s="14"/>
      <c r="F48" s="14"/>
      <c r="G48" s="14"/>
      <c r="H48" s="14"/>
      <c r="I48" s="23" t="str">
        <f>IFERROR(VLOOKUP(H48,基础信息表!A:E,2,0),"")</f>
        <v/>
      </c>
      <c r="J48" s="14"/>
      <c r="K48" s="14"/>
      <c r="L48" s="14">
        <f t="shared" si="2"/>
        <v>0</v>
      </c>
      <c r="M48" s="14"/>
      <c r="N48" s="14"/>
    </row>
    <row r="49" s="3" customFormat="1" ht="11.5" customHeight="1" spans="1:14">
      <c r="A49" s="18">
        <v>47</v>
      </c>
      <c r="B49" s="19" t="str">
        <f t="shared" si="0"/>
        <v>1900</v>
      </c>
      <c r="C49" s="22"/>
      <c r="D49" s="14"/>
      <c r="E49" s="14"/>
      <c r="F49" s="14"/>
      <c r="G49" s="14"/>
      <c r="H49" s="14"/>
      <c r="I49" s="23" t="str">
        <f>IFERROR(VLOOKUP(H49,基础信息表!A:E,2,0),"")</f>
        <v/>
      </c>
      <c r="J49" s="14"/>
      <c r="K49" s="14"/>
      <c r="L49" s="14">
        <f t="shared" si="2"/>
        <v>0</v>
      </c>
      <c r="M49" s="14"/>
      <c r="N49" s="14"/>
    </row>
    <row r="50" s="3" customFormat="1" ht="11.5" customHeight="1" spans="1:14">
      <c r="A50" s="18">
        <v>48</v>
      </c>
      <c r="B50" s="19" t="str">
        <f t="shared" si="0"/>
        <v>1900</v>
      </c>
      <c r="C50" s="22"/>
      <c r="D50" s="14"/>
      <c r="E50" s="14"/>
      <c r="F50" s="14"/>
      <c r="G50" s="14"/>
      <c r="H50" s="14"/>
      <c r="I50" s="23" t="str">
        <f>IFERROR(VLOOKUP(H50,基础信息表!A:E,2,0),"")</f>
        <v/>
      </c>
      <c r="J50" s="14"/>
      <c r="K50" s="14"/>
      <c r="L50" s="14">
        <f t="shared" si="2"/>
        <v>0</v>
      </c>
      <c r="M50" s="14"/>
      <c r="N50" s="14"/>
    </row>
    <row r="51" s="3" customFormat="1" ht="11.5" customHeight="1" spans="1:14">
      <c r="A51" s="18">
        <v>49</v>
      </c>
      <c r="B51" s="19" t="str">
        <f t="shared" si="0"/>
        <v>1900</v>
      </c>
      <c r="C51" s="22"/>
      <c r="D51" s="14"/>
      <c r="E51" s="14"/>
      <c r="F51" s="14"/>
      <c r="G51" s="14"/>
      <c r="H51" s="14"/>
      <c r="I51" s="23" t="str">
        <f>IFERROR(VLOOKUP(H51,基础信息表!A:E,2,0),"")</f>
        <v/>
      </c>
      <c r="J51" s="14"/>
      <c r="K51" s="14"/>
      <c r="L51" s="14">
        <f t="shared" si="2"/>
        <v>0</v>
      </c>
      <c r="M51" s="14"/>
      <c r="N51" s="14"/>
    </row>
    <row r="52" s="3" customFormat="1" ht="11.5" customHeight="1" spans="1:14">
      <c r="A52" s="18">
        <v>50</v>
      </c>
      <c r="B52" s="19" t="str">
        <f t="shared" si="0"/>
        <v>1900</v>
      </c>
      <c r="C52" s="22"/>
      <c r="D52" s="14"/>
      <c r="E52" s="14"/>
      <c r="F52" s="14"/>
      <c r="G52" s="14"/>
      <c r="H52" s="14"/>
      <c r="I52" s="23" t="str">
        <f>IFERROR(VLOOKUP(H52,基础信息表!A:E,2,0),"")</f>
        <v/>
      </c>
      <c r="J52" s="14"/>
      <c r="K52" s="14"/>
      <c r="L52" s="14">
        <f t="shared" si="2"/>
        <v>0</v>
      </c>
      <c r="M52" s="14"/>
      <c r="N52" s="14"/>
    </row>
    <row r="53" s="3" customFormat="1" ht="11.5" customHeight="1" spans="1:14">
      <c r="A53" s="18">
        <v>51</v>
      </c>
      <c r="B53" s="19" t="str">
        <f t="shared" si="0"/>
        <v>1900</v>
      </c>
      <c r="C53" s="22"/>
      <c r="D53" s="14"/>
      <c r="E53" s="14"/>
      <c r="F53" s="14"/>
      <c r="G53" s="14"/>
      <c r="H53" s="14"/>
      <c r="I53" s="23" t="str">
        <f>IFERROR(VLOOKUP(H53,基础信息表!A:E,2,0),"")</f>
        <v/>
      </c>
      <c r="J53" s="14"/>
      <c r="K53" s="14"/>
      <c r="L53" s="14">
        <f t="shared" si="2"/>
        <v>0</v>
      </c>
      <c r="M53" s="14"/>
      <c r="N53" s="14"/>
    </row>
    <row r="54" s="3" customFormat="1" ht="11.5" customHeight="1" spans="1:14">
      <c r="A54" s="18">
        <v>52</v>
      </c>
      <c r="B54" s="19" t="str">
        <f t="shared" si="0"/>
        <v>1900</v>
      </c>
      <c r="C54" s="22"/>
      <c r="D54" s="14"/>
      <c r="E54" s="14"/>
      <c r="F54" s="14"/>
      <c r="G54" s="14"/>
      <c r="H54" s="14"/>
      <c r="I54" s="23" t="str">
        <f>IFERROR(VLOOKUP(H54,基础信息表!A:E,2,0),"")</f>
        <v/>
      </c>
      <c r="J54" s="14"/>
      <c r="K54" s="14"/>
      <c r="L54" s="14">
        <f t="shared" si="2"/>
        <v>0</v>
      </c>
      <c r="M54" s="14"/>
      <c r="N54" s="14"/>
    </row>
    <row r="55" s="3" customFormat="1" ht="11.5" customHeight="1" spans="1:14">
      <c r="A55" s="18">
        <v>53</v>
      </c>
      <c r="B55" s="19" t="str">
        <f t="shared" si="0"/>
        <v>1900</v>
      </c>
      <c r="C55" s="22"/>
      <c r="D55" s="14"/>
      <c r="E55" s="14"/>
      <c r="F55" s="14"/>
      <c r="G55" s="14"/>
      <c r="H55" s="14"/>
      <c r="I55" s="23" t="str">
        <f>IFERROR(VLOOKUP(H55,基础信息表!A:E,2,0),"")</f>
        <v/>
      </c>
      <c r="J55" s="14"/>
      <c r="K55" s="14"/>
      <c r="L55" s="14">
        <f t="shared" si="2"/>
        <v>0</v>
      </c>
      <c r="M55" s="14"/>
      <c r="N55" s="14"/>
    </row>
    <row r="56" s="3" customFormat="1" ht="11.5" customHeight="1" spans="1:14">
      <c r="A56" s="18">
        <v>54</v>
      </c>
      <c r="B56" s="19" t="str">
        <f t="shared" si="0"/>
        <v>1900</v>
      </c>
      <c r="C56" s="22"/>
      <c r="D56" s="14"/>
      <c r="E56" s="14"/>
      <c r="F56" s="14"/>
      <c r="G56" s="14"/>
      <c r="H56" s="14"/>
      <c r="I56" s="23" t="str">
        <f>IFERROR(VLOOKUP(H56,基础信息表!A:E,2,0),"")</f>
        <v/>
      </c>
      <c r="J56" s="14"/>
      <c r="K56" s="14"/>
      <c r="L56" s="14">
        <f t="shared" si="2"/>
        <v>0</v>
      </c>
      <c r="M56" s="14"/>
      <c r="N56" s="14"/>
    </row>
    <row r="57" s="3" customFormat="1" ht="11.5" customHeight="1" spans="1:14">
      <c r="A57" s="18">
        <v>55</v>
      </c>
      <c r="B57" s="19" t="str">
        <f t="shared" si="0"/>
        <v>1900</v>
      </c>
      <c r="C57" s="22"/>
      <c r="D57" s="14"/>
      <c r="E57" s="14"/>
      <c r="F57" s="14"/>
      <c r="G57" s="14"/>
      <c r="H57" s="14"/>
      <c r="I57" s="23" t="str">
        <f>IFERROR(VLOOKUP(H57,基础信息表!A:E,2,0),"")</f>
        <v/>
      </c>
      <c r="J57" s="14"/>
      <c r="K57" s="14"/>
      <c r="L57" s="14">
        <f t="shared" si="2"/>
        <v>0</v>
      </c>
      <c r="M57" s="14"/>
      <c r="N57" s="14"/>
    </row>
    <row r="58" s="3" customFormat="1" ht="11.5" customHeight="1" spans="1:14">
      <c r="A58" s="18">
        <v>56</v>
      </c>
      <c r="B58" s="19" t="str">
        <f t="shared" si="0"/>
        <v>1900</v>
      </c>
      <c r="C58" s="22"/>
      <c r="D58" s="14"/>
      <c r="E58" s="14"/>
      <c r="F58" s="14"/>
      <c r="G58" s="14"/>
      <c r="H58" s="14"/>
      <c r="I58" s="23" t="str">
        <f>IFERROR(VLOOKUP(H58,基础信息表!A:E,2,0),"")</f>
        <v/>
      </c>
      <c r="J58" s="14"/>
      <c r="K58" s="14"/>
      <c r="L58" s="14">
        <f t="shared" si="2"/>
        <v>0</v>
      </c>
      <c r="M58" s="14"/>
      <c r="N58" s="14"/>
    </row>
    <row r="59" s="3" customFormat="1" ht="11.5" customHeight="1" spans="1:14">
      <c r="A59" s="18">
        <v>57</v>
      </c>
      <c r="B59" s="19" t="str">
        <f t="shared" si="0"/>
        <v>1900</v>
      </c>
      <c r="C59" s="22"/>
      <c r="D59" s="14"/>
      <c r="E59" s="14"/>
      <c r="F59" s="14"/>
      <c r="G59" s="14"/>
      <c r="H59" s="14"/>
      <c r="I59" s="23" t="str">
        <f>IFERROR(VLOOKUP(H59,基础信息表!A:E,2,0),"")</f>
        <v/>
      </c>
      <c r="J59" s="14"/>
      <c r="K59" s="14"/>
      <c r="L59" s="14">
        <f t="shared" si="2"/>
        <v>0</v>
      </c>
      <c r="M59" s="14"/>
      <c r="N59" s="14"/>
    </row>
    <row r="60" s="3" customFormat="1" ht="11.5" customHeight="1" spans="1:14">
      <c r="A60" s="18">
        <v>58</v>
      </c>
      <c r="B60" s="19" t="str">
        <f t="shared" si="0"/>
        <v>1900</v>
      </c>
      <c r="C60" s="22"/>
      <c r="D60" s="14"/>
      <c r="E60" s="14"/>
      <c r="F60" s="14"/>
      <c r="G60" s="14"/>
      <c r="H60" s="14"/>
      <c r="I60" s="23" t="str">
        <f>IFERROR(VLOOKUP(H60,基础信息表!A:E,2,0),"")</f>
        <v/>
      </c>
      <c r="J60" s="14"/>
      <c r="K60" s="14"/>
      <c r="L60" s="14">
        <f t="shared" si="2"/>
        <v>0</v>
      </c>
      <c r="M60" s="14"/>
      <c r="N60" s="14"/>
    </row>
    <row r="61" s="3" customFormat="1" ht="11.5" customHeight="1" spans="1:14">
      <c r="A61" s="18">
        <v>59</v>
      </c>
      <c r="B61" s="19" t="str">
        <f t="shared" si="0"/>
        <v>1900</v>
      </c>
      <c r="C61" s="22"/>
      <c r="D61" s="14"/>
      <c r="E61" s="14"/>
      <c r="F61" s="14"/>
      <c r="G61" s="14"/>
      <c r="H61" s="14"/>
      <c r="I61" s="23" t="str">
        <f>IFERROR(VLOOKUP(H61,基础信息表!A:E,2,0),"")</f>
        <v/>
      </c>
      <c r="J61" s="14"/>
      <c r="K61" s="14"/>
      <c r="L61" s="14">
        <f t="shared" si="2"/>
        <v>0</v>
      </c>
      <c r="M61" s="14"/>
      <c r="N61" s="14"/>
    </row>
    <row r="62" s="3" customFormat="1" ht="11.5" customHeight="1" spans="1:14">
      <c r="A62" s="18">
        <v>60</v>
      </c>
      <c r="B62" s="19" t="str">
        <f t="shared" si="0"/>
        <v>1900</v>
      </c>
      <c r="C62" s="22"/>
      <c r="D62" s="14"/>
      <c r="E62" s="14"/>
      <c r="F62" s="14"/>
      <c r="G62" s="14"/>
      <c r="H62" s="14"/>
      <c r="I62" s="23" t="str">
        <f>IFERROR(VLOOKUP(H62,基础信息表!A:E,2,0),"")</f>
        <v/>
      </c>
      <c r="J62" s="14"/>
      <c r="K62" s="14"/>
      <c r="L62" s="14">
        <f t="shared" si="2"/>
        <v>0</v>
      </c>
      <c r="M62" s="14"/>
      <c r="N62" s="14"/>
    </row>
    <row r="63" s="3" customFormat="1" ht="11.5" customHeight="1" spans="1:14">
      <c r="A63" s="18">
        <v>61</v>
      </c>
      <c r="B63" s="19" t="str">
        <f t="shared" si="0"/>
        <v>1900</v>
      </c>
      <c r="C63" s="22"/>
      <c r="D63" s="14"/>
      <c r="E63" s="14"/>
      <c r="F63" s="14"/>
      <c r="G63" s="14"/>
      <c r="H63" s="14"/>
      <c r="I63" s="23" t="str">
        <f>IFERROR(VLOOKUP(H63,基础信息表!A:E,2,0),"")</f>
        <v/>
      </c>
      <c r="J63" s="14"/>
      <c r="K63" s="14"/>
      <c r="L63" s="14">
        <f t="shared" si="2"/>
        <v>0</v>
      </c>
      <c r="M63" s="14"/>
      <c r="N63" s="14"/>
    </row>
    <row r="64" s="3" customFormat="1" ht="21" customHeight="1" spans="1:14">
      <c r="B64" s="15"/>
      <c r="C64" s="16"/>
    </row>
    <row r="65" s="3" customFormat="1" ht="21" customHeight="1" spans="2:3">
      <c r="B65" s="15"/>
      <c r="C65" s="16"/>
    </row>
    <row r="66" s="3" customFormat="1" ht="21" customHeight="1" spans="2:3">
      <c r="B66" s="15"/>
      <c r="C66" s="16"/>
    </row>
    <row r="67" s="3" customFormat="1" ht="21" customHeight="1" spans="2:3">
      <c r="B67" s="15"/>
      <c r="C67" s="16"/>
    </row>
    <row r="68" s="3" customFormat="1" ht="21" customHeight="1" spans="2:3">
      <c r="B68" s="15"/>
      <c r="C68" s="16"/>
    </row>
    <row r="69" s="3" customFormat="1" ht="21" customHeight="1" spans="2:3">
      <c r="B69" s="15"/>
      <c r="C69" s="16"/>
    </row>
    <row r="70" s="3" customFormat="1" ht="21" customHeight="1" spans="2:3">
      <c r="B70" s="15"/>
      <c r="C70" s="16"/>
    </row>
    <row r="71" s="3" customFormat="1" ht="21" customHeight="1" spans="2:3">
      <c r="B71" s="15"/>
      <c r="C71" s="16"/>
    </row>
    <row r="72" s="3" customFormat="1" ht="21" customHeight="1" spans="2:3">
      <c r="B72" s="15"/>
      <c r="C72" s="16"/>
    </row>
    <row r="73" s="3" customFormat="1" ht="21" customHeight="1" spans="2:3">
      <c r="B73" s="15"/>
      <c r="C73" s="16"/>
    </row>
    <row r="74" s="3" customFormat="1" ht="21" customHeight="1" spans="2:3">
      <c r="B74" s="15"/>
      <c r="C74" s="16"/>
    </row>
    <row r="75" s="3" customFormat="1" ht="21" customHeight="1" spans="2:3">
      <c r="B75" s="15"/>
      <c r="C75" s="16"/>
    </row>
    <row r="76" s="3" customFormat="1" ht="21" customHeight="1" spans="2:3">
      <c r="B76" s="15"/>
      <c r="C76" s="16"/>
    </row>
    <row r="77" s="3" customFormat="1" ht="21" customHeight="1" spans="2:3">
      <c r="B77" s="15"/>
      <c r="C77" s="16"/>
    </row>
    <row r="78" s="3" customFormat="1" ht="21" customHeight="1" spans="2:3">
      <c r="B78" s="15"/>
      <c r="C78" s="16"/>
    </row>
    <row r="79" s="3" customFormat="1" ht="21" customHeight="1" spans="2:3">
      <c r="B79" s="15"/>
      <c r="C79" s="16"/>
    </row>
    <row r="80" s="3" customFormat="1" ht="21" customHeight="1" spans="2:3">
      <c r="B80" s="15"/>
      <c r="C80" s="16"/>
    </row>
    <row r="81" s="3" customFormat="1" ht="21" customHeight="1" spans="2:3">
      <c r="B81" s="15"/>
      <c r="C81" s="16"/>
    </row>
    <row r="82" s="3" customFormat="1" ht="21" customHeight="1" spans="2:3">
      <c r="B82" s="15"/>
      <c r="C82" s="16"/>
    </row>
    <row r="83" s="3" customFormat="1" ht="21" customHeight="1" spans="2:3">
      <c r="B83" s="15"/>
      <c r="C83" s="16"/>
    </row>
    <row r="84" s="3" customFormat="1" ht="21" customHeight="1" spans="2:3">
      <c r="B84" s="15"/>
      <c r="C84" s="16"/>
    </row>
    <row r="85" s="3" customFormat="1" ht="21" customHeight="1" spans="2:3">
      <c r="B85" s="15"/>
      <c r="C85" s="16"/>
    </row>
    <row r="86" s="3" customFormat="1" ht="21" customHeight="1" spans="2:3">
      <c r="B86" s="15"/>
      <c r="C86" s="16"/>
    </row>
    <row r="87" s="3" customFormat="1" ht="21" customHeight="1" spans="2:3">
      <c r="B87" s="15"/>
      <c r="C87" s="16"/>
    </row>
    <row r="88" s="3" customFormat="1" ht="21" customHeight="1" spans="2:3">
      <c r="B88" s="15"/>
      <c r="C88" s="16"/>
    </row>
    <row r="89" s="3" customFormat="1" ht="21" customHeight="1" spans="2:3">
      <c r="B89" s="15"/>
      <c r="C89" s="16"/>
    </row>
    <row r="90" s="3" customFormat="1" ht="21" customHeight="1" spans="2:3">
      <c r="B90" s="15"/>
      <c r="C90" s="16"/>
    </row>
    <row r="91" s="3" customFormat="1" ht="21" customHeight="1" spans="2:3">
      <c r="B91" s="15"/>
      <c r="C91" s="16"/>
    </row>
    <row r="92" s="3" customFormat="1" ht="21" customHeight="1" spans="2:3">
      <c r="B92" s="15"/>
      <c r="C92" s="16"/>
    </row>
    <row r="93" s="3" customFormat="1" ht="21" customHeight="1" spans="2:3">
      <c r="B93" s="15"/>
      <c r="C93" s="16"/>
    </row>
    <row r="94" s="3" customFormat="1" ht="21" customHeight="1" spans="2:3">
      <c r="B94" s="15"/>
      <c r="C94" s="16"/>
    </row>
    <row r="95" s="3" customFormat="1" ht="21" customHeight="1" spans="2:3">
      <c r="B95" s="15"/>
      <c r="C95" s="16"/>
    </row>
    <row r="96" s="3" customFormat="1" ht="21" customHeight="1" spans="2:3">
      <c r="B96" s="15"/>
      <c r="C96" s="16"/>
    </row>
    <row r="97" s="3" customFormat="1" ht="21" customHeight="1" spans="2:3">
      <c r="B97" s="15"/>
      <c r="C97" s="16"/>
    </row>
    <row r="98" s="3" customFormat="1" ht="21" customHeight="1" spans="2:3">
      <c r="B98" s="15"/>
      <c r="C98" s="16"/>
    </row>
    <row r="99" s="3" customFormat="1" ht="21" customHeight="1" spans="2:3">
      <c r="B99" s="15"/>
      <c r="C99" s="16"/>
    </row>
    <row r="100" s="3" customFormat="1" ht="21" customHeight="1" spans="2:3">
      <c r="B100" s="15"/>
      <c r="C100" s="16"/>
    </row>
    <row r="101" s="3" customFormat="1" ht="21" customHeight="1" spans="2:3">
      <c r="B101" s="15"/>
      <c r="C101" s="16"/>
    </row>
    <row r="102" s="3" customFormat="1" ht="21" customHeight="1" spans="2:3">
      <c r="B102" s="15"/>
      <c r="C102" s="16"/>
    </row>
    <row r="103" s="3" customFormat="1" ht="21" customHeight="1" spans="2:3">
      <c r="B103" s="15"/>
      <c r="C103" s="16"/>
    </row>
    <row r="104" s="3" customFormat="1" ht="21" customHeight="1" spans="2:3">
      <c r="B104" s="15"/>
      <c r="C104" s="16"/>
    </row>
    <row r="105" s="3" customFormat="1" ht="21" customHeight="1" spans="2:3">
      <c r="B105" s="15"/>
      <c r="C105" s="16"/>
    </row>
    <row r="106" s="3" customFormat="1" ht="21" customHeight="1" spans="2:3">
      <c r="B106" s="15"/>
      <c r="C106" s="16"/>
    </row>
    <row r="107" s="3" customFormat="1" ht="21" customHeight="1" spans="2:3">
      <c r="B107" s="15"/>
      <c r="C107" s="16"/>
    </row>
    <row r="108" s="3" customFormat="1" ht="21" customHeight="1" spans="2:3">
      <c r="B108" s="15"/>
      <c r="C108" s="16"/>
    </row>
    <row r="109" s="3" customFormat="1" ht="21" customHeight="1" spans="2:3">
      <c r="B109" s="15"/>
      <c r="C109" s="16"/>
    </row>
    <row r="110" s="3" customFormat="1" ht="21" customHeight="1" spans="2:3">
      <c r="B110" s="15"/>
      <c r="C110" s="16"/>
    </row>
    <row r="111" s="3" customFormat="1" ht="21" customHeight="1" spans="2:3">
      <c r="B111" s="15"/>
      <c r="C111" s="16"/>
    </row>
    <row r="112" s="3" customFormat="1" ht="21" customHeight="1" spans="2:3">
      <c r="B112" s="15"/>
      <c r="C112" s="16"/>
    </row>
    <row r="113" s="3" customFormat="1" ht="21" customHeight="1" spans="2:3">
      <c r="B113" s="15"/>
      <c r="C113" s="16"/>
    </row>
    <row r="114" s="3" customFormat="1" ht="21" customHeight="1" spans="2:3">
      <c r="B114" s="15"/>
      <c r="C114" s="16"/>
    </row>
    <row r="115" s="3" customFormat="1" ht="21" customHeight="1" spans="2:3">
      <c r="B115" s="15"/>
      <c r="C115" s="16"/>
    </row>
    <row r="116" s="3" customFormat="1" ht="21" customHeight="1" spans="2:3">
      <c r="B116" s="15"/>
      <c r="C116" s="16"/>
    </row>
    <row r="117" s="3" customFormat="1" ht="21" customHeight="1" spans="2:3">
      <c r="B117" s="15"/>
      <c r="C117" s="16"/>
    </row>
    <row r="118" s="3" customFormat="1" ht="21" customHeight="1" spans="2:3">
      <c r="B118" s="15"/>
      <c r="C118" s="16"/>
    </row>
    <row r="119" s="3" customFormat="1" ht="21" customHeight="1" spans="2:3">
      <c r="B119" s="15"/>
      <c r="C119" s="16"/>
    </row>
    <row r="120" s="3" customFormat="1" ht="21" customHeight="1" spans="2:3">
      <c r="B120" s="15"/>
      <c r="C120" s="16"/>
    </row>
    <row r="121" s="3" customFormat="1" ht="21" customHeight="1" spans="2:3">
      <c r="B121" s="15"/>
      <c r="C121" s="16"/>
    </row>
    <row r="122" s="3" customFormat="1" ht="21" customHeight="1" spans="2:3">
      <c r="B122" s="15"/>
      <c r="C122" s="16"/>
    </row>
    <row r="123" s="3" customFormat="1" ht="21" customHeight="1" spans="2:3">
      <c r="B123" s="15"/>
      <c r="C123" s="16"/>
    </row>
    <row r="124" s="3" customFormat="1" ht="21" customHeight="1" spans="2:3">
      <c r="B124" s="15"/>
      <c r="C124" s="16"/>
    </row>
    <row r="125" s="3" customFormat="1" ht="21" customHeight="1" spans="2:3">
      <c r="B125" s="15"/>
      <c r="C125" s="16"/>
    </row>
    <row r="126" s="3" customFormat="1" ht="21" customHeight="1" spans="2:3">
      <c r="B126" s="15"/>
      <c r="C126" s="16"/>
    </row>
    <row r="127" s="3" customFormat="1" ht="21" customHeight="1" spans="2:3">
      <c r="B127" s="15"/>
      <c r="C127" s="16"/>
    </row>
    <row r="128" s="3" customFormat="1" ht="21" customHeight="1" spans="2:3">
      <c r="B128" s="15"/>
      <c r="C128" s="16"/>
    </row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</sheetData>
  <autoFilter xmlns:etc="http://www.wps.cn/officeDocument/2017/etCustomData" ref="A2:N63" etc:filterBottomFollowUsedRange="0">
    <extLst/>
  </autoFilter>
  <mergeCells count="1">
    <mergeCell ref="A1:N1"/>
  </mergeCells>
  <dataValidations count="3">
    <dataValidation type="list" allowBlank="1" showInputMessage="1" showErrorMessage="1" sqref="D3:D1048576">
      <formula1>Sheet1!$C$2:$C$60</formula1>
    </dataValidation>
    <dataValidation type="list" allowBlank="1" showInputMessage="1" showErrorMessage="1" sqref="E3:E1048576">
      <formula1>Sheet1!$B$2:$B$60</formula1>
    </dataValidation>
    <dataValidation type="list" allowBlank="1" showInputMessage="1" showErrorMessage="1" sqref="H3:H1048576">
      <formula1>基础信息表!$A$3:$A$9999</formula1>
    </dataValidation>
  </dataValidation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H56"/>
  <sheetViews>
    <sheetView showGridLines="0" workbookViewId="0">
      <selection activeCell="D17" sqref="D17"/>
    </sheetView>
  </sheetViews>
  <sheetFormatPr defaultColWidth="9" defaultRowHeight="27.75" customHeight="1" outlineLevelCol="7"/>
  <cols>
    <col min="1" max="1" width="15.1238938053097" style="3" customWidth="1"/>
    <col min="2" max="2" width="15" style="3" customWidth="1"/>
    <col min="3" max="3" width="18.2566371681416" style="3" customWidth="1"/>
    <col min="4" max="4" width="17" style="3" customWidth="1"/>
    <col min="5" max="5" width="11.9469026548673" style="3" customWidth="1"/>
    <col min="6" max="6" width="30.7522123893805" style="3" customWidth="1"/>
    <col min="7" max="7" width="29.1238938053097" style="3" customWidth="1"/>
    <col min="8" max="8" width="14.3716814159292" style="3" customWidth="1"/>
    <col min="9" max="16384" width="9" style="3"/>
  </cols>
  <sheetData>
    <row r="1" ht="22.5" customHeight="1" spans="1:8">
      <c r="A1" s="12" t="s">
        <v>86</v>
      </c>
      <c r="B1" s="12"/>
      <c r="C1" s="12"/>
      <c r="D1" s="12"/>
      <c r="E1" s="12"/>
      <c r="F1" s="12"/>
      <c r="G1" s="12"/>
      <c r="H1" s="12"/>
    </row>
    <row r="2" s="3" customFormat="1" ht="22.5" customHeight="1" spans="1:8">
      <c r="A2" s="13" t="s">
        <v>52</v>
      </c>
      <c r="B2" s="13" t="s">
        <v>53</v>
      </c>
      <c r="C2" s="13" t="s">
        <v>87</v>
      </c>
      <c r="D2" s="13" t="s">
        <v>88</v>
      </c>
      <c r="E2" s="13" t="s">
        <v>89</v>
      </c>
      <c r="F2" s="13" t="s">
        <v>90</v>
      </c>
      <c r="G2" s="13" t="s">
        <v>91</v>
      </c>
      <c r="H2" s="13" t="s">
        <v>59</v>
      </c>
    </row>
    <row r="3" s="3" customFormat="1" ht="11.5" customHeight="1" spans="1:8">
      <c r="A3" s="14" t="str">
        <f>基础信息表!E3</f>
        <v>YL1001</v>
      </c>
      <c r="B3" s="14" t="str">
        <f>基础信息表!F3</f>
        <v>原料1</v>
      </c>
      <c r="C3" s="14">
        <f>SUMIFS(原材料出入库表!I:I,原材料出入库表!F:F,A3,原材料出入库表!D:D,"采购入库")</f>
        <v>200</v>
      </c>
      <c r="D3" s="14">
        <f>SUMIFS(原材料出入库表!I:I,原材料出入库表!F:F,A3,原材料出入库表!D:D,"生产出库")+SUMIFS(原材料出入库表!I:I,原材料出入库表!F:F,A3,原材料出入库表!D:D,"退货出库")+SUMIFS(原材料出入库表!I:I,原材料出入库表!F:F,A3,原材料出入库表!D:D,"报损出库（需要走报损流程）")</f>
        <v>20</v>
      </c>
      <c r="E3" s="14">
        <f>C3-D3</f>
        <v>180</v>
      </c>
      <c r="F3" s="14" t="str">
        <f>IFERROR(IF(E3&lt;=VLOOKUP(A3,基础信息表!E:I,3,0),"警告：库存过低，请及时补充库存",""),"")</f>
        <v/>
      </c>
      <c r="G3" s="14" t="str">
        <f>IFERROR(IF(E3&gt;=VLOOKUP(A3,基础信息表!E:I,4,0),"预警：库存过高，请及时去库存",""),"")</f>
        <v>预警：库存过高，请及时去库存</v>
      </c>
      <c r="H3" s="14"/>
    </row>
    <row r="4" s="3" customFormat="1" ht="11.5" customHeight="1" spans="1:8">
      <c r="A4" s="14" t="str">
        <f>基础信息表!E4</f>
        <v>YL1002</v>
      </c>
      <c r="B4" s="14" t="str">
        <f>基础信息表!F4</f>
        <v>原料2</v>
      </c>
      <c r="C4" s="14">
        <f>SUMIFS(原材料出入库表!I:I,原材料出入库表!F:F,A4,原材料出入库表!D:D,"采购入库")</f>
        <v>0</v>
      </c>
      <c r="D4" s="14">
        <f>SUMIFS(原材料出入库表!I:I,原材料出入库表!F:F,A4,原材料出入库表!D:D,"生产出库")+SUMIFS(原材料出入库表!I:I,原材料出入库表!F:F,A4,原材料出入库表!D:D,"退货出库")+SUMIFS(原材料出入库表!I:I,原材料出入库表!F:F,A4,原材料出入库表!D:D,"报损出库（需要走报损流程）")</f>
        <v>0</v>
      </c>
      <c r="E4" s="14">
        <f t="shared" ref="E4:E56" si="0">C4-D4</f>
        <v>0</v>
      </c>
      <c r="F4" s="14" t="str">
        <f>IFERROR(IF(E4&lt;=VLOOKUP(A4,基础信息表!E:I,3,0),"警告：库存过低，请及时补充库存",""),"")</f>
        <v>警告：库存过低，请及时补充库存</v>
      </c>
      <c r="G4" s="14" t="str">
        <f>IFERROR(IF(E4&gt;=VLOOKUP(A4,基础信息表!E:I,4,0),"预警：库存过高，请及时去库存",""),"")</f>
        <v/>
      </c>
      <c r="H4" s="14"/>
    </row>
    <row r="5" s="3" customFormat="1" ht="11.5" customHeight="1" spans="1:8">
      <c r="A5" s="14" t="str">
        <f>基础信息表!E5</f>
        <v>YL1003</v>
      </c>
      <c r="B5" s="14" t="str">
        <f>基础信息表!F5</f>
        <v>原料3</v>
      </c>
      <c r="C5" s="14">
        <f>SUMIFS(原材料出入库表!I:I,原材料出入库表!F:F,A5,原材料出入库表!D:D,"采购入库")</f>
        <v>0</v>
      </c>
      <c r="D5" s="14">
        <f>SUMIFS(原材料出入库表!I:I,原材料出入库表!F:F,A5,原材料出入库表!D:D,"生产出库")+SUMIFS(原材料出入库表!I:I,原材料出入库表!F:F,A5,原材料出入库表!D:D,"退货出库")+SUMIFS(原材料出入库表!I:I,原材料出入库表!F:F,A5,原材料出入库表!D:D,"报损出库（需要走报损流程）")</f>
        <v>20</v>
      </c>
      <c r="E5" s="14">
        <f t="shared" si="0"/>
        <v>-20</v>
      </c>
      <c r="F5" s="14" t="str">
        <f>IFERROR(IF(E5&lt;=VLOOKUP(A5,基础信息表!E:I,3,0),"警告：库存过低，请及时补充库存",""),"")</f>
        <v>警告：库存过低，请及时补充库存</v>
      </c>
      <c r="G5" s="14" t="str">
        <f>IFERROR(IF(E5&gt;=VLOOKUP(A5,基础信息表!E:I,4,0),"预警：库存过高，请及时去库存",""),"")</f>
        <v/>
      </c>
      <c r="H5" s="14"/>
    </row>
    <row r="6" s="3" customFormat="1" ht="11.5" customHeight="1" spans="1:8">
      <c r="A6" s="14" t="str">
        <f>基础信息表!E6</f>
        <v>YL1004</v>
      </c>
      <c r="B6" s="14" t="str">
        <f>基础信息表!F6</f>
        <v>原料4</v>
      </c>
      <c r="C6" s="14">
        <f>SUMIFS(原材料出入库表!I:I,原材料出入库表!F:F,A6,原材料出入库表!D:D,"采购入库")</f>
        <v>0</v>
      </c>
      <c r="D6" s="14">
        <f>SUMIFS(原材料出入库表!I:I,原材料出入库表!F:F,A6,原材料出入库表!D:D,"生产出库")+SUMIFS(原材料出入库表!I:I,原材料出入库表!F:F,A6,原材料出入库表!D:D,"退货出库")+SUMIFS(原材料出入库表!I:I,原材料出入库表!F:F,A6,原材料出入库表!D:D,"报损出库（需要走报损流程）")</f>
        <v>20</v>
      </c>
      <c r="E6" s="14">
        <f t="shared" si="0"/>
        <v>-20</v>
      </c>
      <c r="F6" s="14" t="str">
        <f>IFERROR(IF(E6&lt;=VLOOKUP(A6,基础信息表!E:I,3,0),"警告：库存过低，请及时补充库存",""),"")</f>
        <v>警告：库存过低，请及时补充库存</v>
      </c>
      <c r="G6" s="14" t="str">
        <f>IFERROR(IF(E6&gt;=VLOOKUP(A6,基础信息表!E:I,4,0),"预警：库存过高，请及时去库存",""),"")</f>
        <v/>
      </c>
      <c r="H6" s="14"/>
    </row>
    <row r="7" s="3" customFormat="1" ht="11.5" customHeight="1" spans="1:8">
      <c r="A7" s="14" t="str">
        <f>基础信息表!E7</f>
        <v>YL1005</v>
      </c>
      <c r="B7" s="14" t="str">
        <f>基础信息表!F7</f>
        <v>原料5</v>
      </c>
      <c r="C7" s="14">
        <f>SUMIFS(原材料出入库表!I:I,原材料出入库表!F:F,A7,原材料出入库表!D:D,"采购入库")</f>
        <v>0</v>
      </c>
      <c r="D7" s="14">
        <f>SUMIFS(原材料出入库表!I:I,原材料出入库表!F:F,A7,原材料出入库表!D:D,"生产出库")+SUMIFS(原材料出入库表!I:I,原材料出入库表!F:F,A7,原材料出入库表!D:D,"退货出库")+SUMIFS(原材料出入库表!I:I,原材料出入库表!F:F,A7,原材料出入库表!D:D,"报损出库（需要走报损流程）")</f>
        <v>20</v>
      </c>
      <c r="E7" s="14">
        <f t="shared" si="0"/>
        <v>-20</v>
      </c>
      <c r="F7" s="14" t="str">
        <f>IFERROR(IF(E7&lt;=VLOOKUP(A7,基础信息表!E:I,3,0),"警告：库存过低，请及时补充库存",""),"")</f>
        <v>警告：库存过低，请及时补充库存</v>
      </c>
      <c r="G7" s="14" t="str">
        <f>IFERROR(IF(E7&gt;=VLOOKUP(A7,基础信息表!E:I,4,0),"预警：库存过高，请及时去库存",""),"")</f>
        <v/>
      </c>
      <c r="H7" s="14"/>
    </row>
    <row r="8" s="3" customFormat="1" ht="11.5" customHeight="1" spans="1:8">
      <c r="A8" s="14" t="str">
        <f>基础信息表!E8</f>
        <v>YL1006</v>
      </c>
      <c r="B8" s="14" t="str">
        <f>基础信息表!F8</f>
        <v>原料6</v>
      </c>
      <c r="C8" s="14">
        <f>SUMIFS(原材料出入库表!I:I,原材料出入库表!F:F,A8,原材料出入库表!D:D,"采购入库")</f>
        <v>0</v>
      </c>
      <c r="D8" s="14">
        <f>SUMIFS(原材料出入库表!I:I,原材料出入库表!F:F,A8,原材料出入库表!D:D,"生产出库")+SUMIFS(原材料出入库表!I:I,原材料出入库表!F:F,A8,原材料出入库表!D:D,"退货出库")+SUMIFS(原材料出入库表!I:I,原材料出入库表!F:F,A8,原材料出入库表!D:D,"报损出库（需要走报损流程）")</f>
        <v>0</v>
      </c>
      <c r="E8" s="14">
        <f t="shared" si="0"/>
        <v>0</v>
      </c>
      <c r="F8" s="14" t="str">
        <f>IFERROR(IF(E8&lt;=VLOOKUP(A8,基础信息表!E:I,3,0),"警告：库存过低，请及时补充库存",""),"")</f>
        <v>警告：库存过低，请及时补充库存</v>
      </c>
      <c r="G8" s="14" t="str">
        <f>IFERROR(IF(E8&gt;=VLOOKUP(A8,基础信息表!E:I,4,0),"预警：库存过高，请及时去库存",""),"")</f>
        <v/>
      </c>
      <c r="H8" s="14"/>
    </row>
    <row r="9" s="3" customFormat="1" ht="11.5" customHeight="1" spans="1:8">
      <c r="A9" s="14" t="str">
        <f>基础信息表!E9</f>
        <v>YL1007</v>
      </c>
      <c r="B9" s="14" t="str">
        <f>基础信息表!F9</f>
        <v>原料7</v>
      </c>
      <c r="C9" s="14">
        <f>SUMIFS(原材料出入库表!I:I,原材料出入库表!F:F,A9,原材料出入库表!D:D,"采购入库")</f>
        <v>0</v>
      </c>
      <c r="D9" s="14">
        <f>SUMIFS(原材料出入库表!I:I,原材料出入库表!F:F,A9,原材料出入库表!D:D,"生产出库")+SUMIFS(原材料出入库表!I:I,原材料出入库表!F:F,A9,原材料出入库表!D:D,"退货出库")+SUMIFS(原材料出入库表!I:I,原材料出入库表!F:F,A9,原材料出入库表!D:D,"报损出库（需要走报损流程）")</f>
        <v>100</v>
      </c>
      <c r="E9" s="14">
        <f t="shared" si="0"/>
        <v>-100</v>
      </c>
      <c r="F9" s="14" t="str">
        <f>IFERROR(IF(E9&lt;=VLOOKUP(A9,基础信息表!E:I,3,0),"警告：库存过低，请及时补充库存",""),"")</f>
        <v>警告：库存过低，请及时补充库存</v>
      </c>
      <c r="G9" s="14" t="str">
        <f>IFERROR(IF(E9&gt;=VLOOKUP(A9,基础信息表!E:I,4,0),"预警：库存过高，请及时去库存",""),"")</f>
        <v/>
      </c>
      <c r="H9" s="14"/>
    </row>
    <row r="10" s="3" customFormat="1" ht="11.5" customHeight="1" spans="1:8">
      <c r="A10" s="14" t="str">
        <f>基础信息表!E10</f>
        <v>YL1008</v>
      </c>
      <c r="B10" s="14" t="str">
        <f>基础信息表!F10</f>
        <v>原料8</v>
      </c>
      <c r="C10" s="14">
        <f>SUMIFS(原材料出入库表!I:I,原材料出入库表!F:F,A10,原材料出入库表!D:D,"采购入库")</f>
        <v>0</v>
      </c>
      <c r="D10" s="14">
        <f>SUMIFS(原材料出入库表!I:I,原材料出入库表!F:F,A10,原材料出入库表!D:D,"生产出库")+SUMIFS(原材料出入库表!I:I,原材料出入库表!F:F,A10,原材料出入库表!D:D,"退货出库")+SUMIFS(原材料出入库表!I:I,原材料出入库表!F:F,A10,原材料出入库表!D:D,"报损出库（需要走报损流程）")</f>
        <v>0</v>
      </c>
      <c r="E10" s="14">
        <f t="shared" si="0"/>
        <v>0</v>
      </c>
      <c r="F10" s="14" t="str">
        <f>IFERROR(IF(E10&lt;=VLOOKUP(A10,基础信息表!E:I,3,0),"警告：库存过低，请及时补充库存",""),"")</f>
        <v>警告：库存过低，请及时补充库存</v>
      </c>
      <c r="G10" s="14" t="str">
        <f>IFERROR(IF(E10&gt;=VLOOKUP(A10,基础信息表!E:I,4,0),"预警：库存过高，请及时去库存",""),"")</f>
        <v/>
      </c>
      <c r="H10" s="14"/>
    </row>
    <row r="11" s="3" customFormat="1" ht="11.5" customHeight="1" spans="1:8">
      <c r="A11" s="14" t="str">
        <f>基础信息表!E11</f>
        <v>YL1009</v>
      </c>
      <c r="B11" s="14" t="str">
        <f>基础信息表!F11</f>
        <v>原料9</v>
      </c>
      <c r="C11" s="14">
        <f>SUMIFS(原材料出入库表!I:I,原材料出入库表!F:F,A11,原材料出入库表!D:D,"采购入库")</f>
        <v>20</v>
      </c>
      <c r="D11" s="14">
        <f>SUMIFS(原材料出入库表!I:I,原材料出入库表!F:F,A11,原材料出入库表!D:D,"生产出库")+SUMIFS(原材料出入库表!I:I,原材料出入库表!F:F,A11,原材料出入库表!D:D,"退货出库")+SUMIFS(原材料出入库表!I:I,原材料出入库表!F:F,A11,原材料出入库表!D:D,"报损出库（需要走报损流程）")</f>
        <v>0</v>
      </c>
      <c r="E11" s="14">
        <f t="shared" si="0"/>
        <v>20</v>
      </c>
      <c r="F11" s="14" t="str">
        <f>IFERROR(IF(E11&lt;=VLOOKUP(A11,基础信息表!E:I,3,0),"警告：库存过低，请及时补充库存",""),"")</f>
        <v/>
      </c>
      <c r="G11" s="14" t="str">
        <f>IFERROR(IF(E11&gt;=VLOOKUP(A11,基础信息表!E:I,4,0),"预警：库存过高，请及时去库存",""),"")</f>
        <v>预警：库存过高，请及时去库存</v>
      </c>
      <c r="H11" s="14"/>
    </row>
    <row r="12" s="3" customFormat="1" ht="11.5" customHeight="1" spans="1:8">
      <c r="A12" s="14" t="str">
        <f>基础信息表!E12</f>
        <v>YL1010</v>
      </c>
      <c r="B12" s="14" t="str">
        <f>基础信息表!F12</f>
        <v>原料10</v>
      </c>
      <c r="C12" s="14">
        <f>SUMIFS(原材料出入库表!I:I,原材料出入库表!F:F,A12,原材料出入库表!D:D,"采购入库")</f>
        <v>0</v>
      </c>
      <c r="D12" s="14">
        <f>SUMIFS(原材料出入库表!I:I,原材料出入库表!F:F,A12,原材料出入库表!D:D,"生产出库")+SUMIFS(原材料出入库表!I:I,原材料出入库表!F:F,A12,原材料出入库表!D:D,"退货出库")+SUMIFS(原材料出入库表!I:I,原材料出入库表!F:F,A12,原材料出入库表!D:D,"报损出库（需要走报损流程）")</f>
        <v>0</v>
      </c>
      <c r="E12" s="14">
        <f t="shared" si="0"/>
        <v>0</v>
      </c>
      <c r="F12" s="14" t="str">
        <f>IFERROR(IF(E12&lt;=VLOOKUP(A12,基础信息表!E:I,3,0),"警告：库存过低，请及时补充库存",""),"")</f>
        <v>警告：库存过低，请及时补充库存</v>
      </c>
      <c r="G12" s="14" t="str">
        <f>IFERROR(IF(E12&gt;=VLOOKUP(A12,基础信息表!E:I,4,0),"预警：库存过高，请及时去库存",""),"")</f>
        <v/>
      </c>
      <c r="H12" s="14"/>
    </row>
    <row r="13" s="3" customFormat="1" ht="11.5" customHeight="1" spans="1:8">
      <c r="A13" s="14">
        <f>基础信息表!E13</f>
        <v>0</v>
      </c>
      <c r="B13" s="14">
        <f>基础信息表!F13</f>
        <v>0</v>
      </c>
      <c r="C13" s="14">
        <f>SUMIFS(原材料出入库表!I:I,原材料出入库表!F:F,A13,原材料出入库表!D:D,"采购入库")</f>
        <v>0</v>
      </c>
      <c r="D13" s="14">
        <f>SUMIFS(原材料出入库表!I:I,原材料出入库表!F:F,A13,原材料出入库表!D:D,"生产出库")+SUMIFS(原材料出入库表!I:I,原材料出入库表!F:F,A13,原材料出入库表!D:D,"退货出库")+SUMIFS(原材料出入库表!I:I,原材料出入库表!F:F,A13,原材料出入库表!D:D,"报损出库（需要走报损流程）")</f>
        <v>0</v>
      </c>
      <c r="E13" s="14">
        <f t="shared" si="0"/>
        <v>0</v>
      </c>
      <c r="F13" s="14" t="str">
        <f>IFERROR(IF(E13&lt;=VLOOKUP(A13,基础信息表!E:I,3,0),"警告：库存过低，请及时补充库存",""),"")</f>
        <v/>
      </c>
      <c r="G13" s="14" t="str">
        <f>IFERROR(IF(E13&gt;=VLOOKUP(A13,基础信息表!E:I,4,0),"预警：库存过高，请及时去库存",""),"")</f>
        <v/>
      </c>
      <c r="H13" s="14"/>
    </row>
    <row r="14" s="3" customFormat="1" ht="11.5" customHeight="1" spans="1:8">
      <c r="A14" s="14">
        <f>基础信息表!E14</f>
        <v>0</v>
      </c>
      <c r="B14" s="14">
        <f>基础信息表!F14</f>
        <v>0</v>
      </c>
      <c r="C14" s="14">
        <f>SUMIFS(原材料出入库表!I:I,原材料出入库表!F:F,A14,原材料出入库表!D:D,"采购入库")</f>
        <v>0</v>
      </c>
      <c r="D14" s="14">
        <f>SUMIFS(原材料出入库表!I:I,原材料出入库表!F:F,A14,原材料出入库表!D:D,"生产出库")+SUMIFS(原材料出入库表!I:I,原材料出入库表!F:F,A14,原材料出入库表!D:D,"退货出库")+SUMIFS(原材料出入库表!I:I,原材料出入库表!F:F,A14,原材料出入库表!D:D,"报损出库（需要走报损流程）")</f>
        <v>0</v>
      </c>
      <c r="E14" s="14">
        <f t="shared" si="0"/>
        <v>0</v>
      </c>
      <c r="F14" s="14" t="str">
        <f>IFERROR(IF(E14&lt;=VLOOKUP(A14,基础信息表!E:I,3,0),"警告：库存过低，请及时补充库存",""),"")</f>
        <v/>
      </c>
      <c r="G14" s="14" t="str">
        <f>IFERROR(IF(E14&gt;=VLOOKUP(A14,基础信息表!E:I,4,0),"预警：库存过高，请及时去库存",""),"")</f>
        <v/>
      </c>
      <c r="H14" s="14"/>
    </row>
    <row r="15" s="3" customFormat="1" ht="11.5" customHeight="1" spans="1:8">
      <c r="A15" s="14">
        <f>基础信息表!E15</f>
        <v>0</v>
      </c>
      <c r="B15" s="14">
        <f>基础信息表!F15</f>
        <v>0</v>
      </c>
      <c r="C15" s="14">
        <f>SUMIFS(原材料出入库表!I:I,原材料出入库表!F:F,A15,原材料出入库表!D:D,"采购入库")</f>
        <v>0</v>
      </c>
      <c r="D15" s="14">
        <f>SUMIFS(原材料出入库表!I:I,原材料出入库表!F:F,A15,原材料出入库表!D:D,"生产出库")+SUMIFS(原材料出入库表!I:I,原材料出入库表!F:F,A15,原材料出入库表!D:D,"退货出库")+SUMIFS(原材料出入库表!I:I,原材料出入库表!F:F,A15,原材料出入库表!D:D,"报损出库（需要走报损流程）")</f>
        <v>0</v>
      </c>
      <c r="E15" s="14">
        <f t="shared" si="0"/>
        <v>0</v>
      </c>
      <c r="F15" s="14" t="str">
        <f>IFERROR(IF(E15&lt;=VLOOKUP(A15,基础信息表!E:I,3,0),"警告：库存过低，请及时补充库存",""),"")</f>
        <v/>
      </c>
      <c r="G15" s="14" t="str">
        <f>IFERROR(IF(E15&gt;=VLOOKUP(A15,基础信息表!E:I,4,0),"预警：库存过高，请及时去库存",""),"")</f>
        <v/>
      </c>
      <c r="H15" s="14"/>
    </row>
    <row r="16" s="3" customFormat="1" ht="11.5" customHeight="1" spans="1:8">
      <c r="A16" s="14">
        <f>基础信息表!E16</f>
        <v>0</v>
      </c>
      <c r="B16" s="14">
        <f>基础信息表!F16</f>
        <v>0</v>
      </c>
      <c r="C16" s="14">
        <f>SUMIFS(原材料出入库表!I:I,原材料出入库表!F:F,A16,原材料出入库表!D:D,"采购入库")</f>
        <v>0</v>
      </c>
      <c r="D16" s="14">
        <f>SUMIFS(原材料出入库表!I:I,原材料出入库表!F:F,A16,原材料出入库表!D:D,"生产出库")+SUMIFS(原材料出入库表!I:I,原材料出入库表!F:F,A16,原材料出入库表!D:D,"退货出库")+SUMIFS(原材料出入库表!I:I,原材料出入库表!F:F,A16,原材料出入库表!D:D,"报损出库（需要走报损流程）")</f>
        <v>0</v>
      </c>
      <c r="E16" s="14">
        <f t="shared" si="0"/>
        <v>0</v>
      </c>
      <c r="F16" s="14" t="str">
        <f>IFERROR(IF(E16&lt;=VLOOKUP(A16,基础信息表!E:I,3,0),"警告：库存过低，请及时补充库存",""),"")</f>
        <v/>
      </c>
      <c r="G16" s="14" t="str">
        <f>IFERROR(IF(E16&gt;=VLOOKUP(A16,基础信息表!E:I,4,0),"预警：库存过高，请及时去库存",""),"")</f>
        <v/>
      </c>
      <c r="H16" s="14"/>
    </row>
    <row r="17" s="3" customFormat="1" ht="11.5" customHeight="1" spans="1:8">
      <c r="A17" s="14">
        <f>基础信息表!E17</f>
        <v>0</v>
      </c>
      <c r="B17" s="14">
        <f>基础信息表!F17</f>
        <v>0</v>
      </c>
      <c r="C17" s="14">
        <f>SUMIFS(原材料出入库表!I:I,原材料出入库表!F:F,A17,原材料出入库表!D:D,"采购入库")</f>
        <v>0</v>
      </c>
      <c r="D17" s="14">
        <f>SUMIFS(原材料出入库表!I:I,原材料出入库表!F:F,A17,原材料出入库表!D:D,"生产出库")+SUMIFS(原材料出入库表!I:I,原材料出入库表!F:F,A17,原材料出入库表!D:D,"退货出库")+SUMIFS(原材料出入库表!I:I,原材料出入库表!F:F,A17,原材料出入库表!D:D,"报损出库（需要走报损流程）")</f>
        <v>0</v>
      </c>
      <c r="E17" s="14">
        <f t="shared" si="0"/>
        <v>0</v>
      </c>
      <c r="F17" s="14" t="str">
        <f>IFERROR(IF(E17&lt;=VLOOKUP(A17,基础信息表!E:I,3,0),"警告：库存过低，请及时补充库存",""),"")</f>
        <v/>
      </c>
      <c r="G17" s="14" t="str">
        <f>IFERROR(IF(E17&gt;=VLOOKUP(A17,基础信息表!E:I,4,0),"预警：库存过高，请及时去库存",""),"")</f>
        <v/>
      </c>
      <c r="H17" s="14"/>
    </row>
    <row r="18" s="3" customFormat="1" ht="11.5" customHeight="1" spans="1:8">
      <c r="A18" s="14">
        <f>基础信息表!E18</f>
        <v>0</v>
      </c>
      <c r="B18" s="14">
        <f>基础信息表!F18</f>
        <v>0</v>
      </c>
      <c r="C18" s="14">
        <f>SUMIFS(原材料出入库表!I:I,原材料出入库表!F:F,A18,原材料出入库表!D:D,"采购入库")</f>
        <v>0</v>
      </c>
      <c r="D18" s="14">
        <f>SUMIFS(原材料出入库表!I:I,原材料出入库表!F:F,A18,原材料出入库表!D:D,"生产出库")+SUMIFS(原材料出入库表!I:I,原材料出入库表!F:F,A18,原材料出入库表!D:D,"退货出库")+SUMIFS(原材料出入库表!I:I,原材料出入库表!F:F,A18,原材料出入库表!D:D,"报损出库（需要走报损流程）")</f>
        <v>0</v>
      </c>
      <c r="E18" s="14">
        <f t="shared" si="0"/>
        <v>0</v>
      </c>
      <c r="F18" s="14" t="str">
        <f>IFERROR(IF(E18&lt;=VLOOKUP(A18,基础信息表!E:I,3,0),"警告：库存过低，请及时补充库存",""),"")</f>
        <v/>
      </c>
      <c r="G18" s="14" t="str">
        <f>IFERROR(IF(E18&gt;=VLOOKUP(A18,基础信息表!E:I,4,0),"预警：库存过高，请及时去库存",""),"")</f>
        <v/>
      </c>
      <c r="H18" s="14"/>
    </row>
    <row r="19" s="3" customFormat="1" ht="11.5" customHeight="1" spans="1:8">
      <c r="A19" s="14">
        <f>基础信息表!E19</f>
        <v>0</v>
      </c>
      <c r="B19" s="14">
        <f>基础信息表!F19</f>
        <v>0</v>
      </c>
      <c r="C19" s="14">
        <f>SUMIFS(原材料出入库表!I:I,原材料出入库表!F:F,A19,原材料出入库表!D:D,"采购入库")</f>
        <v>0</v>
      </c>
      <c r="D19" s="14">
        <f>SUMIFS(原材料出入库表!I:I,原材料出入库表!F:F,A19,原材料出入库表!D:D,"生产出库")+SUMIFS(原材料出入库表!I:I,原材料出入库表!F:F,A19,原材料出入库表!D:D,"退货出库")+SUMIFS(原材料出入库表!I:I,原材料出入库表!F:F,A19,原材料出入库表!D:D,"报损出库（需要走报损流程）")</f>
        <v>0</v>
      </c>
      <c r="E19" s="14">
        <f t="shared" si="0"/>
        <v>0</v>
      </c>
      <c r="F19" s="14" t="str">
        <f>IFERROR(IF(E19&lt;=VLOOKUP(A19,基础信息表!E:I,3,0),"警告：库存过低，请及时补充库存",""),"")</f>
        <v/>
      </c>
      <c r="G19" s="14" t="str">
        <f>IFERROR(IF(E19&gt;=VLOOKUP(A19,基础信息表!E:I,4,0),"预警：库存过高，请及时去库存",""),"")</f>
        <v/>
      </c>
      <c r="H19" s="14"/>
    </row>
    <row r="20" s="3" customFormat="1" ht="11.5" customHeight="1" spans="1:8">
      <c r="A20" s="14">
        <f>基础信息表!E20</f>
        <v>0</v>
      </c>
      <c r="B20" s="14">
        <f>基础信息表!F20</f>
        <v>0</v>
      </c>
      <c r="C20" s="14">
        <f>SUMIFS(原材料出入库表!I:I,原材料出入库表!F:F,A20,原材料出入库表!D:D,"采购入库")</f>
        <v>0</v>
      </c>
      <c r="D20" s="14">
        <f>SUMIFS(原材料出入库表!I:I,原材料出入库表!F:F,A20,原材料出入库表!D:D,"生产出库")+SUMIFS(原材料出入库表!I:I,原材料出入库表!F:F,A20,原材料出入库表!D:D,"退货出库")+SUMIFS(原材料出入库表!I:I,原材料出入库表!F:F,A20,原材料出入库表!D:D,"报损出库（需要走报损流程）")</f>
        <v>0</v>
      </c>
      <c r="E20" s="14">
        <f t="shared" si="0"/>
        <v>0</v>
      </c>
      <c r="F20" s="14" t="str">
        <f>IFERROR(IF(E20&lt;=VLOOKUP(A20,基础信息表!E:I,3,0),"警告：库存过低，请及时补充库存",""),"")</f>
        <v/>
      </c>
      <c r="G20" s="14" t="str">
        <f>IFERROR(IF(E20&gt;=VLOOKUP(A20,基础信息表!E:I,4,0),"预警：库存过高，请及时去库存",""),"")</f>
        <v/>
      </c>
      <c r="H20" s="14"/>
    </row>
    <row r="21" s="3" customFormat="1" ht="11.5" customHeight="1" spans="1:8">
      <c r="A21" s="14">
        <f>基础信息表!E21</f>
        <v>0</v>
      </c>
      <c r="B21" s="14">
        <f>基础信息表!F21</f>
        <v>0</v>
      </c>
      <c r="C21" s="14">
        <f>SUMIFS(原材料出入库表!I:I,原材料出入库表!F:F,A21,原材料出入库表!D:D,"采购入库")</f>
        <v>0</v>
      </c>
      <c r="D21" s="14">
        <f>SUMIFS(原材料出入库表!I:I,原材料出入库表!F:F,A21,原材料出入库表!D:D,"生产出库")+SUMIFS(原材料出入库表!I:I,原材料出入库表!F:F,A21,原材料出入库表!D:D,"退货出库")+SUMIFS(原材料出入库表!I:I,原材料出入库表!F:F,A21,原材料出入库表!D:D,"报损出库（需要走报损流程）")</f>
        <v>0</v>
      </c>
      <c r="E21" s="14">
        <f t="shared" si="0"/>
        <v>0</v>
      </c>
      <c r="F21" s="14" t="str">
        <f>IFERROR(IF(E21&lt;=VLOOKUP(A21,基础信息表!E:I,3,0),"警告：库存过低，请及时补充库存",""),"")</f>
        <v/>
      </c>
      <c r="G21" s="14" t="str">
        <f>IFERROR(IF(E21&gt;=VLOOKUP(A21,基础信息表!E:I,4,0),"预警：库存过高，请及时去库存",""),"")</f>
        <v/>
      </c>
      <c r="H21" s="14"/>
    </row>
    <row r="22" s="3" customFormat="1" ht="11.5" customHeight="1" spans="1:8">
      <c r="A22" s="14">
        <f>基础信息表!E22</f>
        <v>0</v>
      </c>
      <c r="B22" s="14">
        <f>基础信息表!F22</f>
        <v>0</v>
      </c>
      <c r="C22" s="14">
        <f>SUMIFS(原材料出入库表!I:I,原材料出入库表!F:F,A22,原材料出入库表!D:D,"采购入库")</f>
        <v>0</v>
      </c>
      <c r="D22" s="14">
        <f>SUMIFS(原材料出入库表!I:I,原材料出入库表!F:F,A22,原材料出入库表!D:D,"生产出库")+SUMIFS(原材料出入库表!I:I,原材料出入库表!F:F,A22,原材料出入库表!D:D,"退货出库")+SUMIFS(原材料出入库表!I:I,原材料出入库表!F:F,A22,原材料出入库表!D:D,"报损出库（需要走报损流程）")</f>
        <v>0</v>
      </c>
      <c r="E22" s="14">
        <f t="shared" si="0"/>
        <v>0</v>
      </c>
      <c r="F22" s="14" t="str">
        <f>IFERROR(IF(E22&lt;=VLOOKUP(A22,基础信息表!E:I,3,0),"警告：库存过低，请及时补充库存",""),"")</f>
        <v/>
      </c>
      <c r="G22" s="14" t="str">
        <f>IFERROR(IF(E22&gt;=VLOOKUP(A22,基础信息表!E:I,4,0),"预警：库存过高，请及时去库存",""),"")</f>
        <v/>
      </c>
      <c r="H22" s="14"/>
    </row>
    <row r="23" s="3" customFormat="1" ht="11.5" customHeight="1" spans="1:8">
      <c r="A23" s="14">
        <f>基础信息表!E23</f>
        <v>0</v>
      </c>
      <c r="B23" s="14">
        <f>基础信息表!F23</f>
        <v>0</v>
      </c>
      <c r="C23" s="14">
        <f>SUMIFS(原材料出入库表!I:I,原材料出入库表!F:F,A23,原材料出入库表!D:D,"采购入库")</f>
        <v>0</v>
      </c>
      <c r="D23" s="14">
        <f>SUMIFS(原材料出入库表!I:I,原材料出入库表!F:F,A23,原材料出入库表!D:D,"生产出库")+SUMIFS(原材料出入库表!I:I,原材料出入库表!F:F,A23,原材料出入库表!D:D,"退货出库")+SUMIFS(原材料出入库表!I:I,原材料出入库表!F:F,A23,原材料出入库表!D:D,"报损出库（需要走报损流程）")</f>
        <v>0</v>
      </c>
      <c r="E23" s="14">
        <f t="shared" si="0"/>
        <v>0</v>
      </c>
      <c r="F23" s="14" t="str">
        <f>IFERROR(IF(E23&lt;=VLOOKUP(A23,基础信息表!E:I,3,0),"警告：库存过低，请及时补充库存",""),"")</f>
        <v/>
      </c>
      <c r="G23" s="14" t="str">
        <f>IFERROR(IF(E23&gt;=VLOOKUP(A23,基础信息表!E:I,4,0),"预警：库存过高，请及时去库存",""),"")</f>
        <v/>
      </c>
      <c r="H23" s="14"/>
    </row>
    <row r="24" s="3" customFormat="1" ht="11.5" customHeight="1" spans="1:8">
      <c r="A24" s="14">
        <f>基础信息表!E24</f>
        <v>0</v>
      </c>
      <c r="B24" s="14">
        <f>基础信息表!F24</f>
        <v>0</v>
      </c>
      <c r="C24" s="14">
        <f>SUMIFS(原材料出入库表!I:I,原材料出入库表!F:F,A24,原材料出入库表!D:D,"采购入库")</f>
        <v>0</v>
      </c>
      <c r="D24" s="14">
        <f>SUMIFS(原材料出入库表!I:I,原材料出入库表!F:F,A24,原材料出入库表!D:D,"生产出库")+SUMIFS(原材料出入库表!I:I,原材料出入库表!F:F,A24,原材料出入库表!D:D,"退货出库")+SUMIFS(原材料出入库表!I:I,原材料出入库表!F:F,A24,原材料出入库表!D:D,"报损出库（需要走报损流程）")</f>
        <v>0</v>
      </c>
      <c r="E24" s="14">
        <f t="shared" si="0"/>
        <v>0</v>
      </c>
      <c r="F24" s="14" t="str">
        <f>IFERROR(IF(E24&lt;=VLOOKUP(A24,基础信息表!E:I,3,0),"警告：库存过低，请及时补充库存",""),"")</f>
        <v/>
      </c>
      <c r="G24" s="14" t="str">
        <f>IFERROR(IF(E24&gt;=VLOOKUP(A24,基础信息表!E:I,4,0),"预警：库存过高，请及时去库存",""),"")</f>
        <v/>
      </c>
      <c r="H24" s="14"/>
    </row>
    <row r="25" s="3" customFormat="1" ht="11.5" customHeight="1" spans="1:8">
      <c r="A25" s="14">
        <f>基础信息表!E25</f>
        <v>0</v>
      </c>
      <c r="B25" s="14">
        <f>基础信息表!F25</f>
        <v>0</v>
      </c>
      <c r="C25" s="14">
        <f>SUMIFS(原材料出入库表!I:I,原材料出入库表!F:F,A25,原材料出入库表!D:D,"采购入库")</f>
        <v>0</v>
      </c>
      <c r="D25" s="14">
        <f>SUMIFS(原材料出入库表!I:I,原材料出入库表!F:F,A25,原材料出入库表!D:D,"生产出库")+SUMIFS(原材料出入库表!I:I,原材料出入库表!F:F,A25,原材料出入库表!D:D,"退货出库")+SUMIFS(原材料出入库表!I:I,原材料出入库表!F:F,A25,原材料出入库表!D:D,"报损出库（需要走报损流程）")</f>
        <v>0</v>
      </c>
      <c r="E25" s="14">
        <f t="shared" si="0"/>
        <v>0</v>
      </c>
      <c r="F25" s="14" t="str">
        <f>IFERROR(IF(E25&lt;=VLOOKUP(A25,基础信息表!E:I,3,0),"警告：库存过低，请及时补充库存",""),"")</f>
        <v/>
      </c>
      <c r="G25" s="14" t="str">
        <f>IFERROR(IF(E25&gt;=VLOOKUP(A25,基础信息表!E:I,4,0),"预警：库存过高，请及时去库存",""),"")</f>
        <v/>
      </c>
      <c r="H25" s="14"/>
    </row>
    <row r="26" s="3" customFormat="1" ht="11.5" customHeight="1" spans="1:8">
      <c r="A26" s="14">
        <f>基础信息表!E26</f>
        <v>0</v>
      </c>
      <c r="B26" s="14">
        <f>基础信息表!F26</f>
        <v>0</v>
      </c>
      <c r="C26" s="14">
        <f>SUMIFS(原材料出入库表!I:I,原材料出入库表!F:F,A26,原材料出入库表!D:D,"采购入库")</f>
        <v>0</v>
      </c>
      <c r="D26" s="14">
        <f>SUMIFS(原材料出入库表!I:I,原材料出入库表!F:F,A26,原材料出入库表!D:D,"生产出库")+SUMIFS(原材料出入库表!I:I,原材料出入库表!F:F,A26,原材料出入库表!D:D,"退货出库")+SUMIFS(原材料出入库表!I:I,原材料出入库表!F:F,A26,原材料出入库表!D:D,"报损出库（需要走报损流程）")</f>
        <v>0</v>
      </c>
      <c r="E26" s="14">
        <f t="shared" si="0"/>
        <v>0</v>
      </c>
      <c r="F26" s="14" t="str">
        <f>IFERROR(IF(E26&lt;=VLOOKUP(A26,基础信息表!E:I,3,0),"警告：库存过低，请及时补充库存",""),"")</f>
        <v/>
      </c>
      <c r="G26" s="14" t="str">
        <f>IFERROR(IF(E26&gt;=VLOOKUP(A26,基础信息表!E:I,4,0),"预警：库存过高，请及时去库存",""),"")</f>
        <v/>
      </c>
      <c r="H26" s="14"/>
    </row>
    <row r="27" s="3" customFormat="1" ht="11.5" customHeight="1" spans="1:8">
      <c r="A27" s="14">
        <f>基础信息表!E27</f>
        <v>0</v>
      </c>
      <c r="B27" s="14">
        <f>基础信息表!F27</f>
        <v>0</v>
      </c>
      <c r="C27" s="14">
        <f>SUMIFS(原材料出入库表!I:I,原材料出入库表!F:F,A27,原材料出入库表!D:D,"采购入库")</f>
        <v>0</v>
      </c>
      <c r="D27" s="14">
        <f>SUMIFS(原材料出入库表!I:I,原材料出入库表!F:F,A27,原材料出入库表!D:D,"生产出库")+SUMIFS(原材料出入库表!I:I,原材料出入库表!F:F,A27,原材料出入库表!D:D,"退货出库")+SUMIFS(原材料出入库表!I:I,原材料出入库表!F:F,A27,原材料出入库表!D:D,"报损出库（需要走报损流程）")</f>
        <v>0</v>
      </c>
      <c r="E27" s="14">
        <f t="shared" si="0"/>
        <v>0</v>
      </c>
      <c r="F27" s="14" t="str">
        <f>IFERROR(IF(E27&lt;=VLOOKUP(A27,基础信息表!E:I,3,0),"警告：库存过低，请及时补充库存",""),"")</f>
        <v/>
      </c>
      <c r="G27" s="14" t="str">
        <f>IFERROR(IF(E27&gt;=VLOOKUP(A27,基础信息表!E:I,4,0),"预警：库存过高，请及时去库存",""),"")</f>
        <v/>
      </c>
      <c r="H27" s="14"/>
    </row>
    <row r="28" s="3" customFormat="1" ht="11.5" customHeight="1" spans="1:8">
      <c r="A28" s="14">
        <f>基础信息表!E28</f>
        <v>0</v>
      </c>
      <c r="B28" s="14">
        <f>基础信息表!F28</f>
        <v>0</v>
      </c>
      <c r="C28" s="14">
        <f>SUMIFS(原材料出入库表!I:I,原材料出入库表!F:F,A28,原材料出入库表!D:D,"采购入库")</f>
        <v>0</v>
      </c>
      <c r="D28" s="14">
        <f>SUMIFS(原材料出入库表!I:I,原材料出入库表!F:F,A28,原材料出入库表!D:D,"生产出库")+SUMIFS(原材料出入库表!I:I,原材料出入库表!F:F,A28,原材料出入库表!D:D,"退货出库")+SUMIFS(原材料出入库表!I:I,原材料出入库表!F:F,A28,原材料出入库表!D:D,"报损出库（需要走报损流程）")</f>
        <v>0</v>
      </c>
      <c r="E28" s="14">
        <f t="shared" si="0"/>
        <v>0</v>
      </c>
      <c r="F28" s="14" t="str">
        <f>IFERROR(IF(E28&lt;=VLOOKUP(A28,基础信息表!E:I,3,0),"警告：库存过低，请及时补充库存",""),"")</f>
        <v/>
      </c>
      <c r="G28" s="14" t="str">
        <f>IFERROR(IF(E28&gt;=VLOOKUP(A28,基础信息表!E:I,4,0),"预警：库存过高，请及时去库存",""),"")</f>
        <v/>
      </c>
      <c r="H28" s="14"/>
    </row>
    <row r="29" s="3" customFormat="1" ht="11.5" customHeight="1" spans="1:8">
      <c r="A29" s="14">
        <f>基础信息表!E29</f>
        <v>0</v>
      </c>
      <c r="B29" s="14">
        <f>基础信息表!F29</f>
        <v>0</v>
      </c>
      <c r="C29" s="14">
        <f>SUMIFS(原材料出入库表!I:I,原材料出入库表!F:F,A29,原材料出入库表!D:D,"采购入库")</f>
        <v>0</v>
      </c>
      <c r="D29" s="14">
        <f>SUMIFS(原材料出入库表!I:I,原材料出入库表!F:F,A29,原材料出入库表!D:D,"生产出库")+SUMIFS(原材料出入库表!I:I,原材料出入库表!F:F,A29,原材料出入库表!D:D,"退货出库")+SUMIFS(原材料出入库表!I:I,原材料出入库表!F:F,A29,原材料出入库表!D:D,"报损出库（需要走报损流程）")</f>
        <v>0</v>
      </c>
      <c r="E29" s="14">
        <f t="shared" si="0"/>
        <v>0</v>
      </c>
      <c r="F29" s="14" t="str">
        <f>IFERROR(IF(E29&lt;=VLOOKUP(A29,基础信息表!E:I,3,0),"警告：库存过低，请及时补充库存",""),"")</f>
        <v/>
      </c>
      <c r="G29" s="14" t="str">
        <f>IFERROR(IF(E29&gt;=VLOOKUP(A29,基础信息表!E:I,4,0),"预警：库存过高，请及时去库存",""),"")</f>
        <v/>
      </c>
      <c r="H29" s="14"/>
    </row>
    <row r="30" s="3" customFormat="1" ht="11.5" customHeight="1" spans="1:8">
      <c r="A30" s="14">
        <f>基础信息表!E30</f>
        <v>0</v>
      </c>
      <c r="B30" s="14">
        <f>基础信息表!F30</f>
        <v>0</v>
      </c>
      <c r="C30" s="14">
        <f>SUMIFS(原材料出入库表!I:I,原材料出入库表!F:F,A30,原材料出入库表!D:D,"采购入库")</f>
        <v>0</v>
      </c>
      <c r="D30" s="14">
        <f>SUMIFS(原材料出入库表!I:I,原材料出入库表!F:F,A30,原材料出入库表!D:D,"生产出库")+SUMIFS(原材料出入库表!I:I,原材料出入库表!F:F,A30,原材料出入库表!D:D,"退货出库")+SUMIFS(原材料出入库表!I:I,原材料出入库表!F:F,A30,原材料出入库表!D:D,"报损出库（需要走报损流程）")</f>
        <v>0</v>
      </c>
      <c r="E30" s="14">
        <f t="shared" si="0"/>
        <v>0</v>
      </c>
      <c r="F30" s="14" t="str">
        <f>IFERROR(IF(E30&lt;=VLOOKUP(A30,基础信息表!E:I,3,0),"警告：库存过低，请及时补充库存",""),"")</f>
        <v/>
      </c>
      <c r="G30" s="14" t="str">
        <f>IFERROR(IF(E30&gt;=VLOOKUP(A30,基础信息表!E:I,4,0),"预警：库存过高，请及时去库存",""),"")</f>
        <v/>
      </c>
      <c r="H30" s="14"/>
    </row>
    <row r="31" s="3" customFormat="1" ht="11.5" customHeight="1" spans="1:8">
      <c r="A31" s="14">
        <f>基础信息表!E31</f>
        <v>0</v>
      </c>
      <c r="B31" s="14">
        <f>基础信息表!F31</f>
        <v>0</v>
      </c>
      <c r="C31" s="14">
        <f>SUMIFS(原材料出入库表!I:I,原材料出入库表!F:F,A31,原材料出入库表!D:D,"采购入库")</f>
        <v>0</v>
      </c>
      <c r="D31" s="14">
        <f>SUMIFS(原材料出入库表!I:I,原材料出入库表!F:F,A31,原材料出入库表!D:D,"生产出库")+SUMIFS(原材料出入库表!I:I,原材料出入库表!F:F,A31,原材料出入库表!D:D,"退货出库")+SUMIFS(原材料出入库表!I:I,原材料出入库表!F:F,A31,原材料出入库表!D:D,"报损出库（需要走报损流程）")</f>
        <v>0</v>
      </c>
      <c r="E31" s="14">
        <f t="shared" si="0"/>
        <v>0</v>
      </c>
      <c r="F31" s="14" t="str">
        <f>IFERROR(IF(E31&lt;=VLOOKUP(A31,基础信息表!E:I,3,0),"警告：库存过低，请及时补充库存",""),"")</f>
        <v/>
      </c>
      <c r="G31" s="14" t="str">
        <f>IFERROR(IF(E31&gt;=VLOOKUP(A31,基础信息表!E:I,4,0),"预警：库存过高，请及时去库存",""),"")</f>
        <v/>
      </c>
      <c r="H31" s="14"/>
    </row>
    <row r="32" s="3" customFormat="1" ht="11.5" customHeight="1" spans="1:8">
      <c r="A32" s="14">
        <f>基础信息表!E32</f>
        <v>0</v>
      </c>
      <c r="B32" s="14">
        <f>基础信息表!F32</f>
        <v>0</v>
      </c>
      <c r="C32" s="14">
        <f>SUMIFS(原材料出入库表!I:I,原材料出入库表!F:F,A32,原材料出入库表!D:D,"采购入库")</f>
        <v>0</v>
      </c>
      <c r="D32" s="14">
        <f>SUMIFS(原材料出入库表!I:I,原材料出入库表!F:F,A32,原材料出入库表!D:D,"生产出库")+SUMIFS(原材料出入库表!I:I,原材料出入库表!F:F,A32,原材料出入库表!D:D,"退货出库")+SUMIFS(原材料出入库表!I:I,原材料出入库表!F:F,A32,原材料出入库表!D:D,"报损出库（需要走报损流程）")</f>
        <v>0</v>
      </c>
      <c r="E32" s="14">
        <f t="shared" si="0"/>
        <v>0</v>
      </c>
      <c r="F32" s="14" t="str">
        <f>IFERROR(IF(E32&lt;=VLOOKUP(A32,基础信息表!E:I,3,0),"警告：库存过低，请及时补充库存",""),"")</f>
        <v/>
      </c>
      <c r="G32" s="14" t="str">
        <f>IFERROR(IF(E32&gt;=VLOOKUP(A32,基础信息表!E:I,4,0),"预警：库存过高，请及时去库存",""),"")</f>
        <v/>
      </c>
      <c r="H32" s="14"/>
    </row>
    <row r="33" s="3" customFormat="1" ht="11.5" customHeight="1" spans="1:8">
      <c r="A33" s="14">
        <f>基础信息表!E33</f>
        <v>0</v>
      </c>
      <c r="B33" s="14">
        <f>基础信息表!F33</f>
        <v>0</v>
      </c>
      <c r="C33" s="14">
        <f>SUMIFS(原材料出入库表!I:I,原材料出入库表!F:F,A33,原材料出入库表!D:D,"采购入库")</f>
        <v>0</v>
      </c>
      <c r="D33" s="14">
        <f>SUMIFS(原材料出入库表!I:I,原材料出入库表!F:F,A33,原材料出入库表!D:D,"生产出库")+SUMIFS(原材料出入库表!I:I,原材料出入库表!F:F,A33,原材料出入库表!D:D,"退货出库")+SUMIFS(原材料出入库表!I:I,原材料出入库表!F:F,A33,原材料出入库表!D:D,"报损出库（需要走报损流程）")</f>
        <v>0</v>
      </c>
      <c r="E33" s="14">
        <f t="shared" si="0"/>
        <v>0</v>
      </c>
      <c r="F33" s="14" t="str">
        <f>IFERROR(IF(E33&lt;=VLOOKUP(A33,基础信息表!E:I,3,0),"警告：库存过低，请及时补充库存",""),"")</f>
        <v/>
      </c>
      <c r="G33" s="14" t="str">
        <f>IFERROR(IF(E33&gt;=VLOOKUP(A33,基础信息表!E:I,4,0),"预警：库存过高，请及时去库存",""),"")</f>
        <v/>
      </c>
      <c r="H33" s="14"/>
    </row>
    <row r="34" s="3" customFormat="1" ht="11.5" customHeight="1" spans="1:8">
      <c r="A34" s="14">
        <f>基础信息表!E34</f>
        <v>0</v>
      </c>
      <c r="B34" s="14">
        <f>基础信息表!F34</f>
        <v>0</v>
      </c>
      <c r="C34" s="14">
        <f>SUMIFS(原材料出入库表!I:I,原材料出入库表!F:F,A34,原材料出入库表!D:D,"采购入库")</f>
        <v>0</v>
      </c>
      <c r="D34" s="14">
        <f>SUMIFS(原材料出入库表!I:I,原材料出入库表!F:F,A34,原材料出入库表!D:D,"生产出库")+SUMIFS(原材料出入库表!I:I,原材料出入库表!F:F,A34,原材料出入库表!D:D,"退货出库")+SUMIFS(原材料出入库表!I:I,原材料出入库表!F:F,A34,原材料出入库表!D:D,"报损出库（需要走报损流程）")</f>
        <v>0</v>
      </c>
      <c r="E34" s="14">
        <f t="shared" si="0"/>
        <v>0</v>
      </c>
      <c r="F34" s="14" t="str">
        <f>IFERROR(IF(E34&lt;=VLOOKUP(A34,基础信息表!E:I,3,0),"警告：库存过低，请及时补充库存",""),"")</f>
        <v/>
      </c>
      <c r="G34" s="14" t="str">
        <f>IFERROR(IF(E34&gt;=VLOOKUP(A34,基础信息表!E:I,4,0),"预警：库存过高，请及时去库存",""),"")</f>
        <v/>
      </c>
      <c r="H34" s="14"/>
    </row>
    <row r="35" s="3" customFormat="1" ht="11.5" customHeight="1" spans="1:8">
      <c r="A35" s="14">
        <f>基础信息表!E35</f>
        <v>0</v>
      </c>
      <c r="B35" s="14">
        <f>基础信息表!F35</f>
        <v>0</v>
      </c>
      <c r="C35" s="14">
        <f>SUMIFS(原材料出入库表!I:I,原材料出入库表!F:F,A35,原材料出入库表!D:D,"采购入库")</f>
        <v>0</v>
      </c>
      <c r="D35" s="14">
        <f>SUMIFS(原材料出入库表!I:I,原材料出入库表!F:F,A35,原材料出入库表!D:D,"生产出库")+SUMIFS(原材料出入库表!I:I,原材料出入库表!F:F,A35,原材料出入库表!D:D,"退货出库")+SUMIFS(原材料出入库表!I:I,原材料出入库表!F:F,A35,原材料出入库表!D:D,"报损出库（需要走报损流程）")</f>
        <v>0</v>
      </c>
      <c r="E35" s="14">
        <f t="shared" si="0"/>
        <v>0</v>
      </c>
      <c r="F35" s="14" t="str">
        <f>IFERROR(IF(E35&lt;=VLOOKUP(A35,基础信息表!E:I,3,0),"警告：库存过低，请及时补充库存",""),"")</f>
        <v/>
      </c>
      <c r="G35" s="14" t="str">
        <f>IFERROR(IF(E35&gt;=VLOOKUP(A35,基础信息表!E:I,4,0),"预警：库存过高，请及时去库存",""),"")</f>
        <v/>
      </c>
      <c r="H35" s="14"/>
    </row>
    <row r="36" s="3" customFormat="1" ht="11.5" customHeight="1" spans="1:8">
      <c r="A36" s="14">
        <f>基础信息表!E36</f>
        <v>0</v>
      </c>
      <c r="B36" s="14">
        <f>基础信息表!F36</f>
        <v>0</v>
      </c>
      <c r="C36" s="14">
        <f>SUMIFS(原材料出入库表!I:I,原材料出入库表!F:F,A36,原材料出入库表!D:D,"采购入库")</f>
        <v>0</v>
      </c>
      <c r="D36" s="14">
        <f>SUMIFS(原材料出入库表!I:I,原材料出入库表!F:F,A36,原材料出入库表!D:D,"生产出库")+SUMIFS(原材料出入库表!I:I,原材料出入库表!F:F,A36,原材料出入库表!D:D,"退货出库")+SUMIFS(原材料出入库表!I:I,原材料出入库表!F:F,A36,原材料出入库表!D:D,"报损出库（需要走报损流程）")</f>
        <v>0</v>
      </c>
      <c r="E36" s="14">
        <f t="shared" si="0"/>
        <v>0</v>
      </c>
      <c r="F36" s="14" t="str">
        <f>IFERROR(IF(E36&lt;=VLOOKUP(A36,基础信息表!E:I,3,0),"警告：库存过低，请及时补充库存",""),"")</f>
        <v/>
      </c>
      <c r="G36" s="14" t="str">
        <f>IFERROR(IF(E36&gt;=VLOOKUP(A36,基础信息表!E:I,4,0),"预警：库存过高，请及时去库存",""),"")</f>
        <v/>
      </c>
      <c r="H36" s="14"/>
    </row>
    <row r="37" s="3" customFormat="1" ht="11.5" customHeight="1" spans="1:8">
      <c r="A37" s="14">
        <f>基础信息表!E37</f>
        <v>0</v>
      </c>
      <c r="B37" s="14">
        <f>基础信息表!F37</f>
        <v>0</v>
      </c>
      <c r="C37" s="14">
        <f>SUMIFS(原材料出入库表!I:I,原材料出入库表!F:F,A37,原材料出入库表!D:D,"采购入库")</f>
        <v>0</v>
      </c>
      <c r="D37" s="14">
        <f>SUMIFS(原材料出入库表!I:I,原材料出入库表!F:F,A37,原材料出入库表!D:D,"生产出库")+SUMIFS(原材料出入库表!I:I,原材料出入库表!F:F,A37,原材料出入库表!D:D,"退货出库")+SUMIFS(原材料出入库表!I:I,原材料出入库表!F:F,A37,原材料出入库表!D:D,"报损出库（需要走报损流程）")</f>
        <v>0</v>
      </c>
      <c r="E37" s="14">
        <f t="shared" si="0"/>
        <v>0</v>
      </c>
      <c r="F37" s="14" t="str">
        <f>IFERROR(IF(E37&lt;=VLOOKUP(A37,基础信息表!E:I,3,0),"警告：库存过低，请及时补充库存",""),"")</f>
        <v/>
      </c>
      <c r="G37" s="14" t="str">
        <f>IFERROR(IF(E37&gt;=VLOOKUP(A37,基础信息表!E:I,4,0),"预警：库存过高，请及时去库存",""),"")</f>
        <v/>
      </c>
      <c r="H37" s="14"/>
    </row>
    <row r="38" s="3" customFormat="1" ht="11.5" customHeight="1" spans="1:8">
      <c r="A38" s="14">
        <f>基础信息表!E38</f>
        <v>0</v>
      </c>
      <c r="B38" s="14">
        <f>基础信息表!F38</f>
        <v>0</v>
      </c>
      <c r="C38" s="14">
        <f>SUMIFS(原材料出入库表!I:I,原材料出入库表!F:F,A38,原材料出入库表!D:D,"采购入库")</f>
        <v>0</v>
      </c>
      <c r="D38" s="14">
        <f>SUMIFS(原材料出入库表!I:I,原材料出入库表!F:F,A38,原材料出入库表!D:D,"生产出库")+SUMIFS(原材料出入库表!I:I,原材料出入库表!F:F,A38,原材料出入库表!D:D,"退货出库")+SUMIFS(原材料出入库表!I:I,原材料出入库表!F:F,A38,原材料出入库表!D:D,"报损出库（需要走报损流程）")</f>
        <v>0</v>
      </c>
      <c r="E38" s="14">
        <f t="shared" si="0"/>
        <v>0</v>
      </c>
      <c r="F38" s="14" t="str">
        <f>IFERROR(IF(E38&lt;=VLOOKUP(A38,基础信息表!E:I,3,0),"警告：库存过低，请及时补充库存",""),"")</f>
        <v/>
      </c>
      <c r="G38" s="14" t="str">
        <f>IFERROR(IF(E38&gt;=VLOOKUP(A38,基础信息表!E:I,4,0),"预警：库存过高，请及时去库存",""),"")</f>
        <v/>
      </c>
      <c r="H38" s="14"/>
    </row>
    <row r="39" s="3" customFormat="1" ht="11.5" customHeight="1" spans="1:8">
      <c r="A39" s="14">
        <f>基础信息表!E39</f>
        <v>0</v>
      </c>
      <c r="B39" s="14">
        <f>基础信息表!F39</f>
        <v>0</v>
      </c>
      <c r="C39" s="14">
        <f>SUMIFS(原材料出入库表!I:I,原材料出入库表!F:F,A39,原材料出入库表!D:D,"采购入库")</f>
        <v>0</v>
      </c>
      <c r="D39" s="14">
        <f>SUMIFS(原材料出入库表!I:I,原材料出入库表!F:F,A39,原材料出入库表!D:D,"生产出库")+SUMIFS(原材料出入库表!I:I,原材料出入库表!F:F,A39,原材料出入库表!D:D,"退货出库")+SUMIFS(原材料出入库表!I:I,原材料出入库表!F:F,A39,原材料出入库表!D:D,"报损出库（需要走报损流程）")</f>
        <v>0</v>
      </c>
      <c r="E39" s="14">
        <f t="shared" si="0"/>
        <v>0</v>
      </c>
      <c r="F39" s="14" t="str">
        <f>IFERROR(IF(E39&lt;=VLOOKUP(A39,基础信息表!E:I,3,0),"警告：库存过低，请及时补充库存",""),"")</f>
        <v/>
      </c>
      <c r="G39" s="14" t="str">
        <f>IFERROR(IF(E39&gt;=VLOOKUP(A39,基础信息表!E:I,4,0),"预警：库存过高，请及时去库存",""),"")</f>
        <v/>
      </c>
      <c r="H39" s="14"/>
    </row>
    <row r="40" s="3" customFormat="1" ht="11.5" customHeight="1" spans="1:8">
      <c r="A40" s="14">
        <f>基础信息表!E40</f>
        <v>0</v>
      </c>
      <c r="B40" s="14">
        <f>基础信息表!F40</f>
        <v>0</v>
      </c>
      <c r="C40" s="14">
        <f>SUMIFS(原材料出入库表!I:I,原材料出入库表!F:F,A40,原材料出入库表!D:D,"采购入库")</f>
        <v>0</v>
      </c>
      <c r="D40" s="14">
        <f>SUMIFS(原材料出入库表!I:I,原材料出入库表!F:F,A40,原材料出入库表!D:D,"生产出库")+SUMIFS(原材料出入库表!I:I,原材料出入库表!F:F,A40,原材料出入库表!D:D,"退货出库")+SUMIFS(原材料出入库表!I:I,原材料出入库表!F:F,A40,原材料出入库表!D:D,"报损出库（需要走报损流程）")</f>
        <v>0</v>
      </c>
      <c r="E40" s="14">
        <f t="shared" si="0"/>
        <v>0</v>
      </c>
      <c r="F40" s="14" t="str">
        <f>IFERROR(IF(E40&lt;=VLOOKUP(A40,基础信息表!E:I,3,0),"警告：库存过低，请及时补充库存",""),"")</f>
        <v/>
      </c>
      <c r="G40" s="14" t="str">
        <f>IFERROR(IF(E40&gt;=VLOOKUP(A40,基础信息表!E:I,4,0),"预警：库存过高，请及时去库存",""),"")</f>
        <v/>
      </c>
      <c r="H40" s="14"/>
    </row>
    <row r="41" s="3" customFormat="1" ht="11.5" customHeight="1" spans="1:8">
      <c r="A41" s="14">
        <f>基础信息表!E41</f>
        <v>0</v>
      </c>
      <c r="B41" s="14">
        <f>基础信息表!F41</f>
        <v>0</v>
      </c>
      <c r="C41" s="14">
        <f>SUMIFS(原材料出入库表!I:I,原材料出入库表!F:F,A41,原材料出入库表!D:D,"采购入库")</f>
        <v>0</v>
      </c>
      <c r="D41" s="14">
        <f>SUMIFS(原材料出入库表!I:I,原材料出入库表!F:F,A41,原材料出入库表!D:D,"生产出库")+SUMIFS(原材料出入库表!I:I,原材料出入库表!F:F,A41,原材料出入库表!D:D,"退货出库")+SUMIFS(原材料出入库表!I:I,原材料出入库表!F:F,A41,原材料出入库表!D:D,"报损出库（需要走报损流程）")</f>
        <v>0</v>
      </c>
      <c r="E41" s="14">
        <f t="shared" si="0"/>
        <v>0</v>
      </c>
      <c r="F41" s="14" t="str">
        <f>IFERROR(IF(E41&lt;=VLOOKUP(A41,基础信息表!E:I,3,0),"警告：库存过低，请及时补充库存",""),"")</f>
        <v/>
      </c>
      <c r="G41" s="14" t="str">
        <f>IFERROR(IF(E41&gt;=VLOOKUP(A41,基础信息表!E:I,4,0),"预警：库存过高，请及时去库存",""),"")</f>
        <v/>
      </c>
      <c r="H41" s="14"/>
    </row>
    <row r="42" s="3" customFormat="1" ht="11.5" customHeight="1" spans="1:8">
      <c r="A42" s="14">
        <f>基础信息表!E42</f>
        <v>0</v>
      </c>
      <c r="B42" s="14">
        <f>基础信息表!F42</f>
        <v>0</v>
      </c>
      <c r="C42" s="14">
        <f>SUMIFS(原材料出入库表!I:I,原材料出入库表!F:F,A42,原材料出入库表!D:D,"采购入库")</f>
        <v>0</v>
      </c>
      <c r="D42" s="14">
        <f>SUMIFS(原材料出入库表!I:I,原材料出入库表!F:F,A42,原材料出入库表!D:D,"生产出库")+SUMIFS(原材料出入库表!I:I,原材料出入库表!F:F,A42,原材料出入库表!D:D,"退货出库")+SUMIFS(原材料出入库表!I:I,原材料出入库表!F:F,A42,原材料出入库表!D:D,"报损出库（需要走报损流程）")</f>
        <v>0</v>
      </c>
      <c r="E42" s="14">
        <f t="shared" si="0"/>
        <v>0</v>
      </c>
      <c r="F42" s="14" t="str">
        <f>IFERROR(IF(E42&lt;=VLOOKUP(A42,基础信息表!E:I,3,0),"警告：库存过低，请及时补充库存",""),"")</f>
        <v/>
      </c>
      <c r="G42" s="14" t="str">
        <f>IFERROR(IF(E42&gt;=VLOOKUP(A42,基础信息表!E:I,4,0),"预警：库存过高，请及时去库存",""),"")</f>
        <v/>
      </c>
      <c r="H42" s="14"/>
    </row>
    <row r="43" s="3" customFormat="1" ht="11.5" customHeight="1" spans="1:8">
      <c r="A43" s="14">
        <f>基础信息表!E43</f>
        <v>0</v>
      </c>
      <c r="B43" s="14">
        <f>基础信息表!F43</f>
        <v>0</v>
      </c>
      <c r="C43" s="14">
        <f>SUMIFS(原材料出入库表!I:I,原材料出入库表!F:F,A43,原材料出入库表!D:D,"采购入库")</f>
        <v>0</v>
      </c>
      <c r="D43" s="14">
        <f>SUMIFS(原材料出入库表!I:I,原材料出入库表!F:F,A43,原材料出入库表!D:D,"生产出库")+SUMIFS(原材料出入库表!I:I,原材料出入库表!F:F,A43,原材料出入库表!D:D,"退货出库")+SUMIFS(原材料出入库表!I:I,原材料出入库表!F:F,A43,原材料出入库表!D:D,"报损出库（需要走报损流程）")</f>
        <v>0</v>
      </c>
      <c r="E43" s="14">
        <f t="shared" si="0"/>
        <v>0</v>
      </c>
      <c r="F43" s="14" t="str">
        <f>IFERROR(IF(E43&lt;=VLOOKUP(A43,基础信息表!E:I,3,0),"警告：库存过低，请及时补充库存",""),"")</f>
        <v/>
      </c>
      <c r="G43" s="14" t="str">
        <f>IFERROR(IF(E43&gt;=VLOOKUP(A43,基础信息表!E:I,4,0),"预警：库存过高，请及时去库存",""),"")</f>
        <v/>
      </c>
      <c r="H43" s="14"/>
    </row>
    <row r="44" s="3" customFormat="1" ht="11.5" customHeight="1" spans="1:8">
      <c r="A44" s="14">
        <f>基础信息表!E44</f>
        <v>0</v>
      </c>
      <c r="B44" s="14">
        <f>基础信息表!F44</f>
        <v>0</v>
      </c>
      <c r="C44" s="14">
        <f>SUMIFS(原材料出入库表!I:I,原材料出入库表!F:F,A44,原材料出入库表!D:D,"采购入库")</f>
        <v>0</v>
      </c>
      <c r="D44" s="14">
        <f>SUMIFS(原材料出入库表!I:I,原材料出入库表!F:F,A44,原材料出入库表!D:D,"生产出库")+SUMIFS(原材料出入库表!I:I,原材料出入库表!F:F,A44,原材料出入库表!D:D,"退货出库")+SUMIFS(原材料出入库表!I:I,原材料出入库表!F:F,A44,原材料出入库表!D:D,"报损出库（需要走报损流程）")</f>
        <v>0</v>
      </c>
      <c r="E44" s="14">
        <f t="shared" si="0"/>
        <v>0</v>
      </c>
      <c r="F44" s="14" t="str">
        <f>IFERROR(IF(E44&lt;=VLOOKUP(A44,基础信息表!E:I,3,0),"警告：库存过低，请及时补充库存",""),"")</f>
        <v/>
      </c>
      <c r="G44" s="14" t="str">
        <f>IFERROR(IF(E44&gt;=VLOOKUP(A44,基础信息表!E:I,4,0),"预警：库存过高，请及时去库存",""),"")</f>
        <v/>
      </c>
      <c r="H44" s="14"/>
    </row>
    <row r="45" s="3" customFormat="1" ht="11.5" customHeight="1" spans="1:8">
      <c r="A45" s="14">
        <f>基础信息表!E45</f>
        <v>0</v>
      </c>
      <c r="B45" s="14">
        <f>基础信息表!F45</f>
        <v>0</v>
      </c>
      <c r="C45" s="14">
        <f>SUMIFS(原材料出入库表!I:I,原材料出入库表!F:F,A45,原材料出入库表!D:D,"采购入库")</f>
        <v>0</v>
      </c>
      <c r="D45" s="14">
        <f>SUMIFS(原材料出入库表!I:I,原材料出入库表!F:F,A45,原材料出入库表!D:D,"生产出库")+SUMIFS(原材料出入库表!I:I,原材料出入库表!F:F,A45,原材料出入库表!D:D,"退货出库")+SUMIFS(原材料出入库表!I:I,原材料出入库表!F:F,A45,原材料出入库表!D:D,"报损出库（需要走报损流程）")</f>
        <v>0</v>
      </c>
      <c r="E45" s="14">
        <f t="shared" si="0"/>
        <v>0</v>
      </c>
      <c r="F45" s="14" t="str">
        <f>IFERROR(IF(E45&lt;=VLOOKUP(A45,基础信息表!E:I,3,0),"警告：库存过低，请及时补充库存",""),"")</f>
        <v/>
      </c>
      <c r="G45" s="14" t="str">
        <f>IFERROR(IF(E45&gt;=VLOOKUP(A45,基础信息表!E:I,4,0),"预警：库存过高，请及时去库存",""),"")</f>
        <v/>
      </c>
      <c r="H45" s="14"/>
    </row>
    <row r="46" s="3" customFormat="1" ht="11.5" customHeight="1" spans="1:8">
      <c r="A46" s="14">
        <f>基础信息表!E46</f>
        <v>0</v>
      </c>
      <c r="B46" s="14">
        <f>基础信息表!F46</f>
        <v>0</v>
      </c>
      <c r="C46" s="14">
        <f>SUMIFS(原材料出入库表!I:I,原材料出入库表!F:F,A46,原材料出入库表!D:D,"采购入库")</f>
        <v>0</v>
      </c>
      <c r="D46" s="14">
        <f>SUMIFS(原材料出入库表!I:I,原材料出入库表!F:F,A46,原材料出入库表!D:D,"生产出库")+SUMIFS(原材料出入库表!I:I,原材料出入库表!F:F,A46,原材料出入库表!D:D,"退货出库")+SUMIFS(原材料出入库表!I:I,原材料出入库表!F:F,A46,原材料出入库表!D:D,"报损出库（需要走报损流程）")</f>
        <v>0</v>
      </c>
      <c r="E46" s="14">
        <f t="shared" si="0"/>
        <v>0</v>
      </c>
      <c r="F46" s="14" t="str">
        <f>IFERROR(IF(E46&lt;=VLOOKUP(A46,基础信息表!E:I,3,0),"警告：库存过低，请及时补充库存",""),"")</f>
        <v/>
      </c>
      <c r="G46" s="14" t="str">
        <f>IFERROR(IF(E46&gt;=VLOOKUP(A46,基础信息表!E:I,4,0),"预警：库存过高，请及时去库存",""),"")</f>
        <v/>
      </c>
      <c r="H46" s="14"/>
    </row>
    <row r="47" s="3" customFormat="1" ht="11.5" customHeight="1" spans="1:8">
      <c r="A47" s="14">
        <f>基础信息表!E47</f>
        <v>0</v>
      </c>
      <c r="B47" s="14">
        <f>基础信息表!F47</f>
        <v>0</v>
      </c>
      <c r="C47" s="14">
        <f>SUMIFS(原材料出入库表!I:I,原材料出入库表!F:F,A47,原材料出入库表!D:D,"采购入库")</f>
        <v>0</v>
      </c>
      <c r="D47" s="14">
        <f>SUMIFS(原材料出入库表!I:I,原材料出入库表!F:F,A47,原材料出入库表!D:D,"生产出库")+SUMIFS(原材料出入库表!I:I,原材料出入库表!F:F,A47,原材料出入库表!D:D,"退货出库")+SUMIFS(原材料出入库表!I:I,原材料出入库表!F:F,A47,原材料出入库表!D:D,"报损出库（需要走报损流程）")</f>
        <v>0</v>
      </c>
      <c r="E47" s="14">
        <f t="shared" si="0"/>
        <v>0</v>
      </c>
      <c r="F47" s="14" t="str">
        <f>IFERROR(IF(E47&lt;=VLOOKUP(A47,基础信息表!E:I,3,0),"警告：库存过低，请及时补充库存",""),"")</f>
        <v/>
      </c>
      <c r="G47" s="14" t="str">
        <f>IFERROR(IF(E47&gt;=VLOOKUP(A47,基础信息表!E:I,4,0),"预警：库存过高，请及时去库存",""),"")</f>
        <v/>
      </c>
      <c r="H47" s="14"/>
    </row>
    <row r="48" s="3" customFormat="1" ht="11.5" customHeight="1" spans="1:8">
      <c r="A48" s="14">
        <f>基础信息表!E48</f>
        <v>0</v>
      </c>
      <c r="B48" s="14">
        <f>基础信息表!F48</f>
        <v>0</v>
      </c>
      <c r="C48" s="14">
        <f>SUMIFS(原材料出入库表!I:I,原材料出入库表!F:F,A48,原材料出入库表!D:D,"采购入库")</f>
        <v>0</v>
      </c>
      <c r="D48" s="14">
        <f>SUMIFS(原材料出入库表!I:I,原材料出入库表!F:F,A48,原材料出入库表!D:D,"生产出库")+SUMIFS(原材料出入库表!I:I,原材料出入库表!F:F,A48,原材料出入库表!D:D,"退货出库")+SUMIFS(原材料出入库表!I:I,原材料出入库表!F:F,A48,原材料出入库表!D:D,"报损出库（需要走报损流程）")</f>
        <v>0</v>
      </c>
      <c r="E48" s="14">
        <f t="shared" si="0"/>
        <v>0</v>
      </c>
      <c r="F48" s="14" t="str">
        <f>IFERROR(IF(E48&lt;=VLOOKUP(A48,基础信息表!E:I,3,0),"警告：库存过低，请及时补充库存",""),"")</f>
        <v/>
      </c>
      <c r="G48" s="14" t="str">
        <f>IFERROR(IF(E48&gt;=VLOOKUP(A48,基础信息表!E:I,4,0),"预警：库存过高，请及时去库存",""),"")</f>
        <v/>
      </c>
      <c r="H48" s="14"/>
    </row>
    <row r="49" s="3" customFormat="1" ht="11.5" customHeight="1" spans="1:8">
      <c r="A49" s="14">
        <f>基础信息表!E49</f>
        <v>0</v>
      </c>
      <c r="B49" s="14">
        <f>基础信息表!F49</f>
        <v>0</v>
      </c>
      <c r="C49" s="14">
        <f>SUMIFS(原材料出入库表!I:I,原材料出入库表!F:F,A49,原材料出入库表!D:D,"采购入库")</f>
        <v>0</v>
      </c>
      <c r="D49" s="14">
        <f>SUMIFS(原材料出入库表!I:I,原材料出入库表!F:F,A49,原材料出入库表!D:D,"生产出库")+SUMIFS(原材料出入库表!I:I,原材料出入库表!F:F,A49,原材料出入库表!D:D,"退货出库")+SUMIFS(原材料出入库表!I:I,原材料出入库表!F:F,A49,原材料出入库表!D:D,"报损出库（需要走报损流程）")</f>
        <v>0</v>
      </c>
      <c r="E49" s="14">
        <f t="shared" si="0"/>
        <v>0</v>
      </c>
      <c r="F49" s="14" t="str">
        <f>IFERROR(IF(E49&lt;=VLOOKUP(A49,基础信息表!E:I,3,0),"警告：库存过低，请及时补充库存",""),"")</f>
        <v/>
      </c>
      <c r="G49" s="14" t="str">
        <f>IFERROR(IF(E49&gt;=VLOOKUP(A49,基础信息表!E:I,4,0),"预警：库存过高，请及时去库存",""),"")</f>
        <v/>
      </c>
      <c r="H49" s="14"/>
    </row>
    <row r="50" s="3" customFormat="1" ht="11.5" customHeight="1" spans="1:8">
      <c r="A50" s="14">
        <f>基础信息表!E50</f>
        <v>0</v>
      </c>
      <c r="B50" s="14">
        <f>基础信息表!F50</f>
        <v>0</v>
      </c>
      <c r="C50" s="14">
        <f>SUMIFS(原材料出入库表!I:I,原材料出入库表!F:F,A50,原材料出入库表!D:D,"采购入库")</f>
        <v>0</v>
      </c>
      <c r="D50" s="14">
        <f>SUMIFS(原材料出入库表!I:I,原材料出入库表!F:F,A50,原材料出入库表!D:D,"生产出库")+SUMIFS(原材料出入库表!I:I,原材料出入库表!F:F,A50,原材料出入库表!D:D,"退货出库")+SUMIFS(原材料出入库表!I:I,原材料出入库表!F:F,A50,原材料出入库表!D:D,"报损出库（需要走报损流程）")</f>
        <v>0</v>
      </c>
      <c r="E50" s="14">
        <f t="shared" si="0"/>
        <v>0</v>
      </c>
      <c r="F50" s="14" t="str">
        <f>IFERROR(IF(E50&lt;=VLOOKUP(A50,基础信息表!E:I,3,0),"警告：库存过低，请及时补充库存",""),"")</f>
        <v/>
      </c>
      <c r="G50" s="14" t="str">
        <f>IFERROR(IF(E50&gt;=VLOOKUP(A50,基础信息表!E:I,4,0),"预警：库存过高，请及时去库存",""),"")</f>
        <v/>
      </c>
      <c r="H50" s="14"/>
    </row>
    <row r="51" s="3" customFormat="1" ht="11.5" customHeight="1" spans="1:8">
      <c r="A51" s="14">
        <f>基础信息表!E51</f>
        <v>0</v>
      </c>
      <c r="B51" s="14">
        <f>基础信息表!F51</f>
        <v>0</v>
      </c>
      <c r="C51" s="14">
        <f>SUMIFS(原材料出入库表!I:I,原材料出入库表!F:F,A51,原材料出入库表!D:D,"采购入库")</f>
        <v>0</v>
      </c>
      <c r="D51" s="14">
        <f>SUMIFS(原材料出入库表!I:I,原材料出入库表!F:F,A51,原材料出入库表!D:D,"生产出库")+SUMIFS(原材料出入库表!I:I,原材料出入库表!F:F,A51,原材料出入库表!D:D,"退货出库")+SUMIFS(原材料出入库表!I:I,原材料出入库表!F:F,A51,原材料出入库表!D:D,"报损出库（需要走报损流程）")</f>
        <v>0</v>
      </c>
      <c r="E51" s="14">
        <f t="shared" si="0"/>
        <v>0</v>
      </c>
      <c r="F51" s="14" t="str">
        <f>IFERROR(IF(E51&lt;=VLOOKUP(A51,基础信息表!E:I,3,0),"警告：库存过低，请及时补充库存",""),"")</f>
        <v/>
      </c>
      <c r="G51" s="14" t="str">
        <f>IFERROR(IF(E51&gt;=VLOOKUP(A51,基础信息表!E:I,4,0),"预警：库存过高，请及时去库存",""),"")</f>
        <v/>
      </c>
      <c r="H51" s="14"/>
    </row>
    <row r="52" s="3" customFormat="1" ht="11.5" customHeight="1" spans="1:8">
      <c r="A52" s="14">
        <f>基础信息表!E52</f>
        <v>0</v>
      </c>
      <c r="B52" s="14">
        <f>基础信息表!F52</f>
        <v>0</v>
      </c>
      <c r="C52" s="14">
        <f>SUMIFS(原材料出入库表!I:I,原材料出入库表!F:F,A52,原材料出入库表!D:D,"采购入库")</f>
        <v>0</v>
      </c>
      <c r="D52" s="14">
        <f>SUMIFS(原材料出入库表!I:I,原材料出入库表!F:F,A52,原材料出入库表!D:D,"生产出库")+SUMIFS(原材料出入库表!I:I,原材料出入库表!F:F,A52,原材料出入库表!D:D,"退货出库")+SUMIFS(原材料出入库表!I:I,原材料出入库表!F:F,A52,原材料出入库表!D:D,"报损出库（需要走报损流程）")</f>
        <v>0</v>
      </c>
      <c r="E52" s="14">
        <f t="shared" si="0"/>
        <v>0</v>
      </c>
      <c r="F52" s="14" t="str">
        <f>IFERROR(IF(E52&lt;=VLOOKUP(A52,基础信息表!E:I,3,0),"警告：库存过低，请及时补充库存",""),"")</f>
        <v/>
      </c>
      <c r="G52" s="14" t="str">
        <f>IFERROR(IF(E52&gt;=VLOOKUP(A52,基础信息表!E:I,4,0),"预警：库存过高，请及时去库存",""),"")</f>
        <v/>
      </c>
      <c r="H52" s="14"/>
    </row>
    <row r="53" s="3" customFormat="1" ht="11.5" customHeight="1" spans="1:8">
      <c r="A53" s="14">
        <f>基础信息表!E53</f>
        <v>0</v>
      </c>
      <c r="B53" s="14">
        <f>基础信息表!F53</f>
        <v>0</v>
      </c>
      <c r="C53" s="14">
        <f>SUMIFS(原材料出入库表!I:I,原材料出入库表!F:F,A53,原材料出入库表!D:D,"采购入库")</f>
        <v>0</v>
      </c>
      <c r="D53" s="14">
        <f>SUMIFS(原材料出入库表!I:I,原材料出入库表!F:F,A53,原材料出入库表!D:D,"生产出库")+SUMIFS(原材料出入库表!I:I,原材料出入库表!F:F,A53,原材料出入库表!D:D,"退货出库")+SUMIFS(原材料出入库表!I:I,原材料出入库表!F:F,A53,原材料出入库表!D:D,"报损出库（需要走报损流程）")</f>
        <v>0</v>
      </c>
      <c r="E53" s="14">
        <f t="shared" si="0"/>
        <v>0</v>
      </c>
      <c r="F53" s="14" t="str">
        <f>IFERROR(IF(E53&lt;=VLOOKUP(A53,基础信息表!E:I,3,0),"警告：库存过低，请及时补充库存",""),"")</f>
        <v/>
      </c>
      <c r="G53" s="14" t="str">
        <f>IFERROR(IF(E53&gt;=VLOOKUP(A53,基础信息表!E:I,4,0),"预警：库存过高，请及时去库存",""),"")</f>
        <v/>
      </c>
      <c r="H53" s="14"/>
    </row>
    <row r="54" s="3" customFormat="1" ht="11.5" customHeight="1" spans="1:8">
      <c r="A54" s="14">
        <f>基础信息表!E54</f>
        <v>0</v>
      </c>
      <c r="B54" s="14">
        <f>基础信息表!F54</f>
        <v>0</v>
      </c>
      <c r="C54" s="14">
        <f>SUMIFS(原材料出入库表!I:I,原材料出入库表!F:F,A54,原材料出入库表!D:D,"采购入库")</f>
        <v>0</v>
      </c>
      <c r="D54" s="14">
        <f>SUMIFS(原材料出入库表!I:I,原材料出入库表!F:F,A54,原材料出入库表!D:D,"生产出库")+SUMIFS(原材料出入库表!I:I,原材料出入库表!F:F,A54,原材料出入库表!D:D,"退货出库")+SUMIFS(原材料出入库表!I:I,原材料出入库表!F:F,A54,原材料出入库表!D:D,"报损出库（需要走报损流程）")</f>
        <v>0</v>
      </c>
      <c r="E54" s="14">
        <f t="shared" si="0"/>
        <v>0</v>
      </c>
      <c r="F54" s="14" t="str">
        <f>IFERROR(IF(E54&lt;=VLOOKUP(A54,基础信息表!E:I,3,0),"警告：库存过低，请及时补充库存",""),"")</f>
        <v/>
      </c>
      <c r="G54" s="14" t="str">
        <f>IFERROR(IF(E54&gt;=VLOOKUP(A54,基础信息表!E:I,4,0),"预警：库存过高，请及时去库存",""),"")</f>
        <v/>
      </c>
      <c r="H54" s="14"/>
    </row>
    <row r="55" s="3" customFormat="1" ht="11.5" customHeight="1" spans="1:8">
      <c r="A55" s="14">
        <f>基础信息表!E55</f>
        <v>0</v>
      </c>
      <c r="B55" s="14">
        <f>基础信息表!F55</f>
        <v>0</v>
      </c>
      <c r="C55" s="14">
        <f>SUMIFS(原材料出入库表!I:I,原材料出入库表!F:F,A55,原材料出入库表!D:D,"采购入库")</f>
        <v>0</v>
      </c>
      <c r="D55" s="14">
        <f>SUMIFS(原材料出入库表!I:I,原材料出入库表!F:F,A55,原材料出入库表!D:D,"生产出库")+SUMIFS(原材料出入库表!I:I,原材料出入库表!F:F,A55,原材料出入库表!D:D,"退货出库")+SUMIFS(原材料出入库表!I:I,原材料出入库表!F:F,A55,原材料出入库表!D:D,"报损出库（需要走报损流程）")</f>
        <v>0</v>
      </c>
      <c r="E55" s="14">
        <f t="shared" si="0"/>
        <v>0</v>
      </c>
      <c r="F55" s="14" t="str">
        <f>IFERROR(IF(E55&lt;=VLOOKUP(A55,基础信息表!E:I,3,0),"警告：库存过低，请及时补充库存",""),"")</f>
        <v/>
      </c>
      <c r="G55" s="14" t="str">
        <f>IFERROR(IF(E55&gt;=VLOOKUP(A55,基础信息表!E:I,4,0),"预警：库存过高，请及时去库存",""),"")</f>
        <v/>
      </c>
      <c r="H55" s="14"/>
    </row>
    <row r="56" s="3" customFormat="1" ht="11.5" customHeight="1" spans="1:8">
      <c r="A56" s="14">
        <f>基础信息表!E56</f>
        <v>0</v>
      </c>
      <c r="B56" s="14">
        <f>基础信息表!F56</f>
        <v>0</v>
      </c>
      <c r="C56" s="14">
        <f>SUMIFS(原材料出入库表!I:I,原材料出入库表!F:F,A56,原材料出入库表!D:D,"采购入库")</f>
        <v>0</v>
      </c>
      <c r="D56" s="14">
        <f>SUMIFS(原材料出入库表!I:I,原材料出入库表!F:F,A56,原材料出入库表!D:D,"生产出库")+SUMIFS(原材料出入库表!I:I,原材料出入库表!F:F,A56,原材料出入库表!D:D,"退货出库")+SUMIFS(原材料出入库表!I:I,原材料出入库表!F:F,A56,原材料出入库表!D:D,"报损出库（需要走报损流程）")</f>
        <v>0</v>
      </c>
      <c r="E56" s="14">
        <f t="shared" si="0"/>
        <v>0</v>
      </c>
      <c r="F56" s="14" t="str">
        <f>IFERROR(IF(E56&lt;=VLOOKUP(A56,基础信息表!E:I,3,0),"警告：库存过低，请及时补充库存",""),"")</f>
        <v/>
      </c>
      <c r="G56" s="14" t="str">
        <f>IFERROR(IF(E56&gt;=VLOOKUP(A56,基础信息表!E:I,4,0),"预警：库存过高，请及时去库存",""),"")</f>
        <v/>
      </c>
      <c r="H56" s="14"/>
    </row>
  </sheetData>
  <mergeCells count="1">
    <mergeCell ref="A1:H1"/>
  </mergeCells>
  <conditionalFormatting sqref="E$1:G$1048576">
    <cfRule type="cellIs" dxfId="0" priority="1" operator="lessThan">
      <formula>0</formula>
    </cfRule>
  </conditionalFormatting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6"/>
  <sheetViews>
    <sheetView workbookViewId="0">
      <pane ySplit="2" topLeftCell="A3" activePane="bottomLeft" state="frozen"/>
      <selection/>
      <selection pane="bottomLeft" activeCell="F19" sqref="F19"/>
    </sheetView>
  </sheetViews>
  <sheetFormatPr defaultColWidth="9" defaultRowHeight="18.5" customHeight="1" outlineLevelCol="7"/>
  <cols>
    <col min="1" max="1" width="15.1238938053097" style="3" customWidth="1"/>
    <col min="2" max="2" width="15" style="3" customWidth="1"/>
    <col min="3" max="3" width="14.6283185840708" style="3" customWidth="1"/>
    <col min="4" max="4" width="17" style="3" customWidth="1"/>
    <col min="5" max="5" width="17.7522123893805" style="3" customWidth="1"/>
    <col min="6" max="6" width="30.7522123893805" style="3" customWidth="1"/>
    <col min="7" max="7" width="29.1238938053097" style="3" customWidth="1"/>
    <col min="8" max="8" width="14.3716814159292" style="3" customWidth="1"/>
    <col min="9" max="16384" width="9" style="3"/>
  </cols>
  <sheetData>
    <row r="1" s="3" customFormat="1" ht="22.5" customHeight="1" spans="1:8">
      <c r="A1" s="5" t="s">
        <v>92</v>
      </c>
      <c r="B1" s="6"/>
      <c r="C1" s="6"/>
      <c r="D1" s="6"/>
      <c r="E1" s="6"/>
      <c r="F1" s="6"/>
      <c r="G1" s="6"/>
      <c r="H1" s="7"/>
    </row>
    <row r="2" s="3" customFormat="1" ht="22.5" customHeight="1" spans="1:8">
      <c r="A2" s="8" t="s">
        <v>2</v>
      </c>
      <c r="B2" s="9" t="s">
        <v>3</v>
      </c>
      <c r="C2" s="9" t="s">
        <v>87</v>
      </c>
      <c r="D2" s="9" t="s">
        <v>88</v>
      </c>
      <c r="E2" s="9" t="s">
        <v>89</v>
      </c>
      <c r="F2" s="9" t="s">
        <v>90</v>
      </c>
      <c r="G2" s="9" t="s">
        <v>91</v>
      </c>
      <c r="H2" s="10" t="s">
        <v>59</v>
      </c>
    </row>
    <row r="3" s="4" customFormat="1" ht="11.5" customHeight="1" spans="1:8">
      <c r="A3" s="11" t="str">
        <f>基础信息表!A3</f>
        <v>GP1001</v>
      </c>
      <c r="B3" s="11" t="str">
        <f>基础信息表!B3</f>
        <v>成品1</v>
      </c>
      <c r="C3" s="11">
        <f>SUMIFS(成品出入库表!J:J,成品出入库表!H:H,A3,成品出入库表!D:D,"退货入库")</f>
        <v>10</v>
      </c>
      <c r="D3" s="11">
        <f>SUMIFS(成品出入库表!J:J,成品出入库表!H:H,A3,成品出入库表!D:D,"销售出库")+SUMIFS(成品出入库表!J:J,成品出入库表!H:H,A3,成品出入库表!D:D,"领用出库")+SUMIFS(成品出入库表!J:J,成品出入库表!H:H,A3,成品出入库表!D:D,"报损出库")</f>
        <v>23</v>
      </c>
      <c r="E3" s="11">
        <f>C3-D3</f>
        <v>-13</v>
      </c>
      <c r="F3" s="11" t="str">
        <f>IFERROR(IF(E3&lt;=VLOOKUP(A3,基础信息表!E:I,3,0),"警告：库存过低，请及时补充库存",""),"")</f>
        <v/>
      </c>
      <c r="G3" s="11" t="str">
        <f>IFERROR(IF(E3&gt;=VLOOKUP(A3,基础信息表!E:I,4,0),"预警：库存过高，请及时去库存",""),"")</f>
        <v/>
      </c>
      <c r="H3" s="11"/>
    </row>
    <row r="4" s="4" customFormat="1" ht="11.5" customHeight="1" spans="1:8">
      <c r="A4" s="11" t="str">
        <f>基础信息表!A4</f>
        <v>GP1002</v>
      </c>
      <c r="B4" s="11" t="str">
        <f>基础信息表!B4</f>
        <v>成品2</v>
      </c>
      <c r="C4" s="11">
        <f>SUMIFS(成品出入库表!J:J,成品出入库表!H:H,A4,成品出入库表!D:D,"退货入库")</f>
        <v>0</v>
      </c>
      <c r="D4" s="11">
        <f>SUMIFS(成品出入库表!J:J,成品出入库表!H:H,A4,成品出入库表!D:D,"销售出库")+SUMIFS(成品出入库表!J:J,成品出入库表!H:H,A4,成品出入库表!D:D,"领用出库")+SUMIFS(成品出入库表!J:J,成品出入库表!H:H,A4,成品出入库表!D:D,"报损出库")</f>
        <v>0</v>
      </c>
      <c r="E4" s="11">
        <f t="shared" ref="E3:E56" si="0">C4-D4</f>
        <v>0</v>
      </c>
      <c r="F4" s="11" t="str">
        <f>IFERROR(IF(E4&lt;=VLOOKUP(A4,基础信息表!E:I,3,0),"警告：库存过低，请及时补充库存",""),"")</f>
        <v/>
      </c>
      <c r="G4" s="11" t="str">
        <f>IFERROR(IF(E4&gt;=VLOOKUP(A4,基础信息表!E:I,4,0),"预警：库存过高，请及时去库存",""),"")</f>
        <v/>
      </c>
      <c r="H4" s="11"/>
    </row>
    <row r="5" s="4" customFormat="1" ht="11.5" customHeight="1" spans="1:8">
      <c r="A5" s="11" t="str">
        <f>基础信息表!A5</f>
        <v>GP1003</v>
      </c>
      <c r="B5" s="11" t="str">
        <f>基础信息表!B5</f>
        <v>成品3</v>
      </c>
      <c r="C5" s="11">
        <f>SUMIFS(成品出入库表!J:J,成品出入库表!H:H,A5,成品出入库表!D:D,"退货入库")</f>
        <v>0</v>
      </c>
      <c r="D5" s="11">
        <f>SUMIFS(成品出入库表!J:J,成品出入库表!H:H,A5,成品出入库表!D:D,"销售出库")+SUMIFS(成品出入库表!J:J,成品出入库表!H:H,A5,成品出入库表!D:D,"领用出库")+SUMIFS(成品出入库表!J:J,成品出入库表!H:H,A5,成品出入库表!D:D,"报损出库")</f>
        <v>0</v>
      </c>
      <c r="E5" s="11">
        <f t="shared" si="0"/>
        <v>0</v>
      </c>
      <c r="F5" s="11" t="str">
        <f>IFERROR(IF(E5&lt;=VLOOKUP(A5,基础信息表!E:I,3,0),"警告：库存过低，请及时补充库存",""),"")</f>
        <v/>
      </c>
      <c r="G5" s="11" t="str">
        <f>IFERROR(IF(E5&gt;=VLOOKUP(A5,基础信息表!E:I,4,0),"预警：库存过高，请及时去库存",""),"")</f>
        <v/>
      </c>
      <c r="H5" s="11"/>
    </row>
    <row r="6" s="4" customFormat="1" ht="11.5" customHeight="1" spans="1:8">
      <c r="A6" s="11" t="str">
        <f>基础信息表!A6</f>
        <v>GP1004</v>
      </c>
      <c r="B6" s="11" t="str">
        <f>基础信息表!B6</f>
        <v>成品4</v>
      </c>
      <c r="C6" s="11">
        <f>SUMIFS(成品出入库表!J:J,成品出入库表!H:H,A6,成品出入库表!D:D,"退货入库")</f>
        <v>0</v>
      </c>
      <c r="D6" s="11">
        <f>SUMIFS(成品出入库表!J:J,成品出入库表!H:H,A6,成品出入库表!D:D,"销售出库")+SUMIFS(成品出入库表!J:J,成品出入库表!H:H,A6,成品出入库表!D:D,"领用出库")+SUMIFS(成品出入库表!J:J,成品出入库表!H:H,A6,成品出入库表!D:D,"报损出库")</f>
        <v>0</v>
      </c>
      <c r="E6" s="11">
        <f t="shared" si="0"/>
        <v>0</v>
      </c>
      <c r="F6" s="11" t="str">
        <f>IFERROR(IF(E6&lt;=VLOOKUP(A6,基础信息表!E:I,3,0),"警告：库存过低，请及时补充库存",""),"")</f>
        <v/>
      </c>
      <c r="G6" s="11" t="str">
        <f>IFERROR(IF(E6&gt;=VLOOKUP(A6,基础信息表!E:I,4,0),"预警：库存过高，请及时去库存",""),"")</f>
        <v/>
      </c>
      <c r="H6" s="11"/>
    </row>
    <row r="7" s="4" customFormat="1" ht="11.5" customHeight="1" spans="1:8">
      <c r="A7" s="11" t="str">
        <f>基础信息表!A7</f>
        <v>GP1005</v>
      </c>
      <c r="B7" s="11" t="str">
        <f>基础信息表!B7</f>
        <v>成品5</v>
      </c>
      <c r="C7" s="11">
        <f>SUMIFS(成品出入库表!J:J,成品出入库表!H:H,A7,成品出入库表!D:D,"退货入库")</f>
        <v>0</v>
      </c>
      <c r="D7" s="11">
        <f>SUMIFS(成品出入库表!J:J,成品出入库表!H:H,A7,成品出入库表!D:D,"销售出库")+SUMIFS(成品出入库表!J:J,成品出入库表!H:H,A7,成品出入库表!D:D,"领用出库")+SUMIFS(成品出入库表!J:J,成品出入库表!H:H,A7,成品出入库表!D:D,"报损出库")</f>
        <v>0</v>
      </c>
      <c r="E7" s="11">
        <f t="shared" si="0"/>
        <v>0</v>
      </c>
      <c r="F7" s="11" t="str">
        <f>IFERROR(IF(E7&lt;=VLOOKUP(A7,基础信息表!E:I,3,0),"警告：库存过低，请及时补充库存",""),"")</f>
        <v/>
      </c>
      <c r="G7" s="11" t="str">
        <f>IFERROR(IF(E7&gt;=VLOOKUP(A7,基础信息表!E:I,4,0),"预警：库存过高，请及时去库存",""),"")</f>
        <v/>
      </c>
      <c r="H7" s="11"/>
    </row>
    <row r="8" s="4" customFormat="1" ht="11.5" customHeight="1" spans="1:8">
      <c r="A8" s="11" t="str">
        <f>基础信息表!A8</f>
        <v>GP1006</v>
      </c>
      <c r="B8" s="11" t="str">
        <f>基础信息表!B8</f>
        <v>成品6</v>
      </c>
      <c r="C8" s="11">
        <f>SUMIFS(成品出入库表!J:J,成品出入库表!H:H,A8,成品出入库表!D:D,"退货入库")</f>
        <v>0</v>
      </c>
      <c r="D8" s="11">
        <f>SUMIFS(成品出入库表!J:J,成品出入库表!H:H,A8,成品出入库表!D:D,"销售出库")+SUMIFS(成品出入库表!J:J,成品出入库表!H:H,A8,成品出入库表!D:D,"领用出库")+SUMIFS(成品出入库表!J:J,成品出入库表!H:H,A8,成品出入库表!D:D,"报损出库")</f>
        <v>0</v>
      </c>
      <c r="E8" s="11">
        <f t="shared" si="0"/>
        <v>0</v>
      </c>
      <c r="F8" s="11" t="str">
        <f>IFERROR(IF(E8&lt;=VLOOKUP(A8,基础信息表!E:I,3,0),"警告：库存过低，请及时补充库存",""),"")</f>
        <v/>
      </c>
      <c r="G8" s="11" t="str">
        <f>IFERROR(IF(E8&gt;=VLOOKUP(A8,基础信息表!E:I,4,0),"预警：库存过高，请及时去库存",""),"")</f>
        <v/>
      </c>
      <c r="H8" s="11"/>
    </row>
    <row r="9" s="4" customFormat="1" ht="11.5" customHeight="1" spans="1:8">
      <c r="A9" s="11" t="str">
        <f>基础信息表!A9</f>
        <v>GP1007</v>
      </c>
      <c r="B9" s="11" t="str">
        <f>基础信息表!B9</f>
        <v>成品7</v>
      </c>
      <c r="C9" s="11">
        <f>SUMIFS(成品出入库表!J:J,成品出入库表!H:H,A9,成品出入库表!D:D,"退货入库")</f>
        <v>0</v>
      </c>
      <c r="D9" s="11">
        <f>SUMIFS(成品出入库表!J:J,成品出入库表!H:H,A9,成品出入库表!D:D,"销售出库")+SUMIFS(成品出入库表!J:J,成品出入库表!H:H,A9,成品出入库表!D:D,"领用出库")+SUMIFS(成品出入库表!J:J,成品出入库表!H:H,A9,成品出入库表!D:D,"报损出库")</f>
        <v>0</v>
      </c>
      <c r="E9" s="11">
        <f t="shared" si="0"/>
        <v>0</v>
      </c>
      <c r="F9" s="11" t="str">
        <f>IFERROR(IF(E9&lt;=VLOOKUP(A9,基础信息表!E:I,3,0),"警告：库存过低，请及时补充库存",""),"")</f>
        <v/>
      </c>
      <c r="G9" s="11" t="str">
        <f>IFERROR(IF(E9&gt;=VLOOKUP(A9,基础信息表!E:I,4,0),"预警：库存过高，请及时去库存",""),"")</f>
        <v/>
      </c>
      <c r="H9" s="11"/>
    </row>
    <row r="10" s="4" customFormat="1" ht="11.5" customHeight="1" spans="1:8">
      <c r="A10" s="11" t="str">
        <f>基础信息表!A10</f>
        <v>GP1008</v>
      </c>
      <c r="B10" s="11" t="str">
        <f>基础信息表!B10</f>
        <v>成品8</v>
      </c>
      <c r="C10" s="11">
        <f>SUMIFS(成品出入库表!J:J,成品出入库表!H:H,A10,成品出入库表!D:D,"退货入库")</f>
        <v>0</v>
      </c>
      <c r="D10" s="11">
        <f>SUMIFS(成品出入库表!J:J,成品出入库表!H:H,A10,成品出入库表!D:D,"销售出库")+SUMIFS(成品出入库表!J:J,成品出入库表!H:H,A10,成品出入库表!D:D,"领用出库")+SUMIFS(成品出入库表!J:J,成品出入库表!H:H,A10,成品出入库表!D:D,"报损出库")</f>
        <v>0</v>
      </c>
      <c r="E10" s="11">
        <f t="shared" si="0"/>
        <v>0</v>
      </c>
      <c r="F10" s="11" t="str">
        <f>IFERROR(IF(E10&lt;=VLOOKUP(A10,基础信息表!E:I,3,0),"警告：库存过低，请及时补充库存",""),"")</f>
        <v/>
      </c>
      <c r="G10" s="11" t="str">
        <f>IFERROR(IF(E10&gt;=VLOOKUP(A10,基础信息表!E:I,4,0),"预警：库存过高，请及时去库存",""),"")</f>
        <v/>
      </c>
      <c r="H10" s="11"/>
    </row>
    <row r="11" s="4" customFormat="1" ht="11.5" customHeight="1" spans="1:8">
      <c r="A11" s="11" t="str">
        <f>基础信息表!A11</f>
        <v>GP1009</v>
      </c>
      <c r="B11" s="11" t="str">
        <f>基础信息表!B11</f>
        <v>成品9</v>
      </c>
      <c r="C11" s="11">
        <f>SUMIFS(成品出入库表!J:J,成品出入库表!H:H,A11,成品出入库表!D:D,"退货入库")</f>
        <v>0</v>
      </c>
      <c r="D11" s="11">
        <f>SUMIFS(成品出入库表!J:J,成品出入库表!H:H,A11,成品出入库表!D:D,"销售出库")+SUMIFS(成品出入库表!J:J,成品出入库表!H:H,A11,成品出入库表!D:D,"领用出库")+SUMIFS(成品出入库表!J:J,成品出入库表!H:H,A11,成品出入库表!D:D,"报损出库")</f>
        <v>0</v>
      </c>
      <c r="E11" s="11">
        <f t="shared" si="0"/>
        <v>0</v>
      </c>
      <c r="F11" s="11" t="str">
        <f>IFERROR(IF(E11&lt;=VLOOKUP(A11,基础信息表!E:I,3,0),"警告：库存过低，请及时补充库存",""),"")</f>
        <v/>
      </c>
      <c r="G11" s="11" t="str">
        <f>IFERROR(IF(E11&gt;=VLOOKUP(A11,基础信息表!E:I,4,0),"预警：库存过高，请及时去库存",""),"")</f>
        <v/>
      </c>
      <c r="H11" s="11"/>
    </row>
    <row r="12" s="4" customFormat="1" ht="11.5" customHeight="1" spans="1:8">
      <c r="A12" s="11" t="str">
        <f>基础信息表!A12</f>
        <v>GP1010</v>
      </c>
      <c r="B12" s="11" t="str">
        <f>基础信息表!B12</f>
        <v>成品10</v>
      </c>
      <c r="C12" s="11">
        <f>SUMIFS(成品出入库表!J:J,成品出入库表!H:H,A12,成品出入库表!D:D,"退货入库")</f>
        <v>0</v>
      </c>
      <c r="D12" s="11">
        <f>SUMIFS(成品出入库表!J:J,成品出入库表!H:H,A12,成品出入库表!D:D,"销售出库")+SUMIFS(成品出入库表!J:J,成品出入库表!H:H,A12,成品出入库表!D:D,"领用出库")+SUMIFS(成品出入库表!J:J,成品出入库表!H:H,A12,成品出入库表!D:D,"报损出库")</f>
        <v>0</v>
      </c>
      <c r="E12" s="11">
        <f t="shared" si="0"/>
        <v>0</v>
      </c>
      <c r="F12" s="11" t="str">
        <f>IFERROR(IF(E12&lt;=VLOOKUP(A12,基础信息表!E:I,3,0),"警告：库存过低，请及时补充库存",""),"")</f>
        <v/>
      </c>
      <c r="G12" s="11" t="str">
        <f>IFERROR(IF(E12&gt;=VLOOKUP(A12,基础信息表!E:I,4,0),"预警：库存过高，请及时去库存",""),"")</f>
        <v/>
      </c>
      <c r="H12" s="11"/>
    </row>
    <row r="13" s="4" customFormat="1" ht="11.5" customHeight="1" spans="1:8">
      <c r="A13" s="11">
        <f>基础信息表!A13</f>
        <v>0</v>
      </c>
      <c r="B13" s="11">
        <f>基础信息表!B13</f>
        <v>0</v>
      </c>
      <c r="C13" s="11">
        <f>SUMIFS(成品出入库表!J:J,成品出入库表!H:H,A13,成品出入库表!D:D,"退货入库")</f>
        <v>0</v>
      </c>
      <c r="D13" s="11">
        <f>SUMIFS(成品出入库表!J:J,成品出入库表!H:H,A13,成品出入库表!D:D,"销售出库")+SUMIFS(成品出入库表!J:J,成品出入库表!H:H,A13,成品出入库表!D:D,"领用出库")+SUMIFS(成品出入库表!J:J,成品出入库表!H:H,A13,成品出入库表!D:D,"报损出库")</f>
        <v>0</v>
      </c>
      <c r="E13" s="11">
        <f t="shared" si="0"/>
        <v>0</v>
      </c>
      <c r="F13" s="11" t="str">
        <f>IFERROR(IF(E13&lt;=VLOOKUP(A13,基础信息表!E:I,3,0),"警告：库存过低，请及时补充库存",""),"")</f>
        <v/>
      </c>
      <c r="G13" s="11" t="str">
        <f>IFERROR(IF(E13&gt;=VLOOKUP(A13,基础信息表!E:I,4,0),"预警：库存过高，请及时去库存",""),"")</f>
        <v/>
      </c>
      <c r="H13" s="11"/>
    </row>
    <row r="14" s="4" customFormat="1" ht="11.5" customHeight="1" spans="1:8">
      <c r="A14" s="11">
        <f>基础信息表!A14</f>
        <v>0</v>
      </c>
      <c r="B14" s="11">
        <f>基础信息表!B14</f>
        <v>0</v>
      </c>
      <c r="C14" s="11">
        <f>SUMIFS(成品出入库表!J:J,成品出入库表!H:H,A14,成品出入库表!D:D,"退货入库")</f>
        <v>0</v>
      </c>
      <c r="D14" s="11">
        <f>SUMIFS(成品出入库表!J:J,成品出入库表!H:H,A14,成品出入库表!D:D,"销售出库")+SUMIFS(成品出入库表!J:J,成品出入库表!H:H,A14,成品出入库表!D:D,"领用出库")+SUMIFS(成品出入库表!J:J,成品出入库表!H:H,A14,成品出入库表!D:D,"报损出库")</f>
        <v>0</v>
      </c>
      <c r="E14" s="11">
        <f t="shared" si="0"/>
        <v>0</v>
      </c>
      <c r="F14" s="11" t="str">
        <f>IFERROR(IF(E14&lt;=VLOOKUP(A14,基础信息表!E:I,3,0),"警告：库存过低，请及时补充库存",""),"")</f>
        <v/>
      </c>
      <c r="G14" s="11" t="str">
        <f>IFERROR(IF(E14&gt;=VLOOKUP(A14,基础信息表!E:I,4,0),"预警：库存过高，请及时去库存",""),"")</f>
        <v/>
      </c>
      <c r="H14" s="11"/>
    </row>
    <row r="15" s="4" customFormat="1" ht="11.5" customHeight="1" spans="1:8">
      <c r="A15" s="11">
        <f>基础信息表!A15</f>
        <v>0</v>
      </c>
      <c r="B15" s="11">
        <f>基础信息表!B15</f>
        <v>0</v>
      </c>
      <c r="C15" s="11">
        <f>SUMIFS(成品出入库表!J:J,成品出入库表!H:H,A15,成品出入库表!D:D,"退货入库")</f>
        <v>0</v>
      </c>
      <c r="D15" s="11">
        <f>SUMIFS(成品出入库表!J:J,成品出入库表!H:H,A15,成品出入库表!D:D,"销售出库")+SUMIFS(成品出入库表!J:J,成品出入库表!H:H,A15,成品出入库表!D:D,"领用出库")+SUMIFS(成品出入库表!J:J,成品出入库表!H:H,A15,成品出入库表!D:D,"报损出库")</f>
        <v>0</v>
      </c>
      <c r="E15" s="11">
        <f t="shared" si="0"/>
        <v>0</v>
      </c>
      <c r="F15" s="11" t="str">
        <f>IFERROR(IF(E15&lt;=VLOOKUP(A15,基础信息表!E:I,3,0),"警告：库存过低，请及时补充库存",""),"")</f>
        <v/>
      </c>
      <c r="G15" s="11" t="str">
        <f>IFERROR(IF(E15&gt;=VLOOKUP(A15,基础信息表!E:I,4,0),"预警：库存过高，请及时去库存",""),"")</f>
        <v/>
      </c>
      <c r="H15" s="11"/>
    </row>
    <row r="16" s="4" customFormat="1" ht="11.5" customHeight="1" spans="1:8">
      <c r="A16" s="11">
        <f>基础信息表!A16</f>
        <v>0</v>
      </c>
      <c r="B16" s="11">
        <f>基础信息表!B16</f>
        <v>0</v>
      </c>
      <c r="C16" s="11">
        <f>SUMIFS(成品出入库表!J:J,成品出入库表!H:H,A16,成品出入库表!D:D,"退货入库")</f>
        <v>0</v>
      </c>
      <c r="D16" s="11">
        <f>SUMIFS(成品出入库表!J:J,成品出入库表!H:H,A16,成品出入库表!D:D,"销售出库")+SUMIFS(成品出入库表!J:J,成品出入库表!H:H,A16,成品出入库表!D:D,"领用出库")+SUMIFS(成品出入库表!J:J,成品出入库表!H:H,A16,成品出入库表!D:D,"报损出库")</f>
        <v>0</v>
      </c>
      <c r="E16" s="11">
        <f t="shared" si="0"/>
        <v>0</v>
      </c>
      <c r="F16" s="11" t="str">
        <f>IFERROR(IF(E16&lt;=VLOOKUP(A16,基础信息表!E:I,3,0),"警告：库存过低，请及时补充库存",""),"")</f>
        <v/>
      </c>
      <c r="G16" s="11" t="str">
        <f>IFERROR(IF(E16&gt;=VLOOKUP(A16,基础信息表!E:I,4,0),"预警：库存过高，请及时去库存",""),"")</f>
        <v/>
      </c>
      <c r="H16" s="11"/>
    </row>
    <row r="17" s="4" customFormat="1" ht="11.5" customHeight="1" spans="1:8">
      <c r="A17" s="11">
        <f>基础信息表!A17</f>
        <v>0</v>
      </c>
      <c r="B17" s="11">
        <f>基础信息表!B17</f>
        <v>0</v>
      </c>
      <c r="C17" s="11">
        <f>SUMIFS(成品出入库表!J:J,成品出入库表!H:H,A17,成品出入库表!D:D,"退货入库")</f>
        <v>0</v>
      </c>
      <c r="D17" s="11">
        <f>SUMIFS(成品出入库表!J:J,成品出入库表!H:H,A17,成品出入库表!D:D,"销售出库")+SUMIFS(成品出入库表!J:J,成品出入库表!H:H,A17,成品出入库表!D:D,"领用出库")+SUMIFS(成品出入库表!J:J,成品出入库表!H:H,A17,成品出入库表!D:D,"报损出库")</f>
        <v>0</v>
      </c>
      <c r="E17" s="11">
        <f t="shared" si="0"/>
        <v>0</v>
      </c>
      <c r="F17" s="11" t="str">
        <f>IFERROR(IF(E17&lt;=VLOOKUP(A17,基础信息表!E:I,3,0),"警告：库存过低，请及时补充库存",""),"")</f>
        <v/>
      </c>
      <c r="G17" s="11" t="str">
        <f>IFERROR(IF(E17&gt;=VLOOKUP(A17,基础信息表!E:I,4,0),"预警：库存过高，请及时去库存",""),"")</f>
        <v/>
      </c>
      <c r="H17" s="11"/>
    </row>
    <row r="18" s="4" customFormat="1" ht="11.5" customHeight="1" spans="1:8">
      <c r="A18" s="11">
        <f>基础信息表!A18</f>
        <v>0</v>
      </c>
      <c r="B18" s="11">
        <f>基础信息表!B18</f>
        <v>0</v>
      </c>
      <c r="C18" s="11">
        <f>SUMIFS(成品出入库表!J:J,成品出入库表!H:H,A18,成品出入库表!D:D,"退货入库")</f>
        <v>0</v>
      </c>
      <c r="D18" s="11">
        <f>SUMIFS(成品出入库表!J:J,成品出入库表!H:H,A18,成品出入库表!D:D,"销售出库")+SUMIFS(成品出入库表!J:J,成品出入库表!H:H,A18,成品出入库表!D:D,"领用出库")+SUMIFS(成品出入库表!J:J,成品出入库表!H:H,A18,成品出入库表!D:D,"报损出库")</f>
        <v>0</v>
      </c>
      <c r="E18" s="11">
        <f t="shared" si="0"/>
        <v>0</v>
      </c>
      <c r="F18" s="11" t="str">
        <f>IFERROR(IF(E18&lt;=VLOOKUP(A18,基础信息表!E:I,3,0),"警告：库存过低，请及时补充库存",""),"")</f>
        <v/>
      </c>
      <c r="G18" s="11" t="str">
        <f>IFERROR(IF(E18&gt;=VLOOKUP(A18,基础信息表!E:I,4,0),"预警：库存过高，请及时去库存",""),"")</f>
        <v/>
      </c>
      <c r="H18" s="11"/>
    </row>
    <row r="19" s="4" customFormat="1" ht="11.5" customHeight="1" spans="1:8">
      <c r="A19" s="11">
        <f>基础信息表!A19</f>
        <v>0</v>
      </c>
      <c r="B19" s="11">
        <f>基础信息表!B19</f>
        <v>0</v>
      </c>
      <c r="C19" s="11">
        <f>SUMIFS(成品出入库表!J:J,成品出入库表!H:H,A19,成品出入库表!D:D,"退货入库")</f>
        <v>0</v>
      </c>
      <c r="D19" s="11">
        <f>SUMIFS(成品出入库表!J:J,成品出入库表!H:H,A19,成品出入库表!D:D,"销售出库")+SUMIFS(成品出入库表!J:J,成品出入库表!H:H,A19,成品出入库表!D:D,"领用出库")+SUMIFS(成品出入库表!J:J,成品出入库表!H:H,A19,成品出入库表!D:D,"报损出库")</f>
        <v>0</v>
      </c>
      <c r="E19" s="11">
        <f t="shared" si="0"/>
        <v>0</v>
      </c>
      <c r="F19" s="11" t="str">
        <f>IFERROR(IF(E19&lt;=VLOOKUP(A19,基础信息表!E:I,3,0),"警告：库存过低，请及时补充库存",""),"")</f>
        <v/>
      </c>
      <c r="G19" s="11" t="str">
        <f>IFERROR(IF(E19&gt;=VLOOKUP(A19,基础信息表!E:I,4,0),"预警：库存过高，请及时去库存",""),"")</f>
        <v/>
      </c>
      <c r="H19" s="11"/>
    </row>
    <row r="20" s="4" customFormat="1" ht="11.5" customHeight="1" spans="1:8">
      <c r="A20" s="11">
        <f>基础信息表!A20</f>
        <v>0</v>
      </c>
      <c r="B20" s="11">
        <f>基础信息表!B20</f>
        <v>0</v>
      </c>
      <c r="C20" s="11">
        <f>SUMIFS(成品出入库表!J:J,成品出入库表!H:H,A20,成品出入库表!D:D,"退货入库")</f>
        <v>0</v>
      </c>
      <c r="D20" s="11">
        <f>SUMIFS(成品出入库表!J:J,成品出入库表!H:H,A20,成品出入库表!D:D,"销售出库")+SUMIFS(成品出入库表!J:J,成品出入库表!H:H,A20,成品出入库表!D:D,"领用出库")+SUMIFS(成品出入库表!J:J,成品出入库表!H:H,A20,成品出入库表!D:D,"报损出库")</f>
        <v>0</v>
      </c>
      <c r="E20" s="11">
        <f t="shared" si="0"/>
        <v>0</v>
      </c>
      <c r="F20" s="11" t="str">
        <f>IFERROR(IF(E20&lt;=VLOOKUP(A20,基础信息表!E:I,3,0),"警告：库存过低，请及时补充库存",""),"")</f>
        <v/>
      </c>
      <c r="G20" s="11" t="str">
        <f>IFERROR(IF(E20&gt;=VLOOKUP(A20,基础信息表!E:I,4,0),"预警：库存过高，请及时去库存",""),"")</f>
        <v/>
      </c>
      <c r="H20" s="11"/>
    </row>
    <row r="21" s="4" customFormat="1" ht="11.5" customHeight="1" spans="1:8">
      <c r="A21" s="11">
        <f>基础信息表!A21</f>
        <v>0</v>
      </c>
      <c r="B21" s="11">
        <f>基础信息表!B21</f>
        <v>0</v>
      </c>
      <c r="C21" s="11">
        <f>SUMIFS(成品出入库表!J:J,成品出入库表!H:H,A21,成品出入库表!D:D,"退货入库")</f>
        <v>0</v>
      </c>
      <c r="D21" s="11">
        <f>SUMIFS(成品出入库表!J:J,成品出入库表!H:H,A21,成品出入库表!D:D,"销售出库")+SUMIFS(成品出入库表!J:J,成品出入库表!H:H,A21,成品出入库表!D:D,"领用出库")+SUMIFS(成品出入库表!J:J,成品出入库表!H:H,A21,成品出入库表!D:D,"报损出库")</f>
        <v>0</v>
      </c>
      <c r="E21" s="11">
        <f t="shared" si="0"/>
        <v>0</v>
      </c>
      <c r="F21" s="11" t="str">
        <f>IFERROR(IF(E21&lt;=VLOOKUP(A21,基础信息表!E:I,3,0),"警告：库存过低，请及时补充库存",""),"")</f>
        <v/>
      </c>
      <c r="G21" s="11" t="str">
        <f>IFERROR(IF(E21&gt;=VLOOKUP(A21,基础信息表!E:I,4,0),"预警：库存过高，请及时去库存",""),"")</f>
        <v/>
      </c>
      <c r="H21" s="11"/>
    </row>
    <row r="22" s="4" customFormat="1" ht="11.5" customHeight="1" spans="1:8">
      <c r="A22" s="11">
        <f>基础信息表!A22</f>
        <v>0</v>
      </c>
      <c r="B22" s="11">
        <f>基础信息表!B22</f>
        <v>0</v>
      </c>
      <c r="C22" s="11">
        <f>SUMIFS(成品出入库表!J:J,成品出入库表!H:H,A22,成品出入库表!D:D,"退货入库")</f>
        <v>0</v>
      </c>
      <c r="D22" s="11">
        <f>SUMIFS(成品出入库表!J:J,成品出入库表!H:H,A22,成品出入库表!D:D,"销售出库")+SUMIFS(成品出入库表!J:J,成品出入库表!H:H,A22,成品出入库表!D:D,"领用出库")+SUMIFS(成品出入库表!J:J,成品出入库表!H:H,A22,成品出入库表!D:D,"报损出库")</f>
        <v>0</v>
      </c>
      <c r="E22" s="11">
        <f t="shared" si="0"/>
        <v>0</v>
      </c>
      <c r="F22" s="11" t="str">
        <f>IFERROR(IF(E22&lt;=VLOOKUP(A22,基础信息表!E:I,3,0),"警告：库存过低，请及时补充库存",""),"")</f>
        <v/>
      </c>
      <c r="G22" s="11" t="str">
        <f>IFERROR(IF(E22&gt;=VLOOKUP(A22,基础信息表!E:I,4,0),"预警：库存过高，请及时去库存",""),"")</f>
        <v/>
      </c>
      <c r="H22" s="11"/>
    </row>
    <row r="23" s="4" customFormat="1" ht="11.5" customHeight="1" spans="1:8">
      <c r="A23" s="11">
        <f>基础信息表!A23</f>
        <v>0</v>
      </c>
      <c r="B23" s="11">
        <f>基础信息表!B23</f>
        <v>0</v>
      </c>
      <c r="C23" s="11">
        <f>SUMIFS(成品出入库表!J:J,成品出入库表!H:H,A23,成品出入库表!D:D,"退货入库")</f>
        <v>0</v>
      </c>
      <c r="D23" s="11">
        <f>SUMIFS(成品出入库表!J:J,成品出入库表!H:H,A23,成品出入库表!D:D,"销售出库")+SUMIFS(成品出入库表!J:J,成品出入库表!H:H,A23,成品出入库表!D:D,"领用出库")+SUMIFS(成品出入库表!J:J,成品出入库表!H:H,A23,成品出入库表!D:D,"报损出库")</f>
        <v>0</v>
      </c>
      <c r="E23" s="11">
        <f t="shared" si="0"/>
        <v>0</v>
      </c>
      <c r="F23" s="11" t="str">
        <f>IFERROR(IF(E23&lt;=VLOOKUP(A23,基础信息表!E:I,3,0),"警告：库存过低，请及时补充库存",""),"")</f>
        <v/>
      </c>
      <c r="G23" s="11" t="str">
        <f>IFERROR(IF(E23&gt;=VLOOKUP(A23,基础信息表!E:I,4,0),"预警：库存过高，请及时去库存",""),"")</f>
        <v/>
      </c>
      <c r="H23" s="11"/>
    </row>
    <row r="24" s="4" customFormat="1" ht="11.5" customHeight="1" spans="1:8">
      <c r="A24" s="11">
        <f>基础信息表!A24</f>
        <v>0</v>
      </c>
      <c r="B24" s="11">
        <f>基础信息表!B24</f>
        <v>0</v>
      </c>
      <c r="C24" s="11">
        <f>SUMIFS(成品出入库表!J:J,成品出入库表!H:H,A24,成品出入库表!D:D,"退货入库")</f>
        <v>0</v>
      </c>
      <c r="D24" s="11">
        <f>SUMIFS(成品出入库表!J:J,成品出入库表!H:H,A24,成品出入库表!D:D,"销售出库")+SUMIFS(成品出入库表!J:J,成品出入库表!H:H,A24,成品出入库表!D:D,"领用出库")+SUMIFS(成品出入库表!J:J,成品出入库表!H:H,A24,成品出入库表!D:D,"报损出库")</f>
        <v>0</v>
      </c>
      <c r="E24" s="11">
        <f t="shared" si="0"/>
        <v>0</v>
      </c>
      <c r="F24" s="11" t="str">
        <f>IFERROR(IF(E24&lt;=VLOOKUP(A24,基础信息表!E:I,3,0),"警告：库存过低，请及时补充库存",""),"")</f>
        <v/>
      </c>
      <c r="G24" s="11" t="str">
        <f>IFERROR(IF(E24&gt;=VLOOKUP(A24,基础信息表!E:I,4,0),"预警：库存过高，请及时去库存",""),"")</f>
        <v/>
      </c>
      <c r="H24" s="11"/>
    </row>
    <row r="25" s="4" customFormat="1" ht="11.5" customHeight="1" spans="1:8">
      <c r="A25" s="11">
        <f>基础信息表!A25</f>
        <v>0</v>
      </c>
      <c r="B25" s="11">
        <f>基础信息表!B25</f>
        <v>0</v>
      </c>
      <c r="C25" s="11">
        <f>SUMIFS(成品出入库表!J:J,成品出入库表!H:H,A25,成品出入库表!D:D,"退货入库")</f>
        <v>0</v>
      </c>
      <c r="D25" s="11">
        <f>SUMIFS(成品出入库表!J:J,成品出入库表!H:H,A25,成品出入库表!D:D,"销售出库")+SUMIFS(成品出入库表!J:J,成品出入库表!H:H,A25,成品出入库表!D:D,"领用出库")+SUMIFS(成品出入库表!J:J,成品出入库表!H:H,A25,成品出入库表!D:D,"报损出库")</f>
        <v>0</v>
      </c>
      <c r="E25" s="11">
        <f t="shared" si="0"/>
        <v>0</v>
      </c>
      <c r="F25" s="11" t="str">
        <f>IFERROR(IF(E25&lt;=VLOOKUP(A25,基础信息表!E:I,3,0),"警告：库存过低，请及时补充库存",""),"")</f>
        <v/>
      </c>
      <c r="G25" s="11" t="str">
        <f>IFERROR(IF(E25&gt;=VLOOKUP(A25,基础信息表!E:I,4,0),"预警：库存过高，请及时去库存",""),"")</f>
        <v/>
      </c>
      <c r="H25" s="11"/>
    </row>
    <row r="26" s="4" customFormat="1" ht="11.5" customHeight="1" spans="1:8">
      <c r="A26" s="11">
        <f>基础信息表!A26</f>
        <v>0</v>
      </c>
      <c r="B26" s="11">
        <f>基础信息表!B26</f>
        <v>0</v>
      </c>
      <c r="C26" s="11">
        <f>SUMIFS(成品出入库表!J:J,成品出入库表!H:H,A26,成品出入库表!D:D,"退货入库")</f>
        <v>0</v>
      </c>
      <c r="D26" s="11">
        <f>SUMIFS(成品出入库表!J:J,成品出入库表!H:H,A26,成品出入库表!D:D,"销售出库")+SUMIFS(成品出入库表!J:J,成品出入库表!H:H,A26,成品出入库表!D:D,"领用出库")+SUMIFS(成品出入库表!J:J,成品出入库表!H:H,A26,成品出入库表!D:D,"报损出库")</f>
        <v>0</v>
      </c>
      <c r="E26" s="11">
        <f t="shared" si="0"/>
        <v>0</v>
      </c>
      <c r="F26" s="11" t="str">
        <f>IFERROR(IF(E26&lt;=VLOOKUP(A26,基础信息表!E:I,3,0),"警告：库存过低，请及时补充库存",""),"")</f>
        <v/>
      </c>
      <c r="G26" s="11" t="str">
        <f>IFERROR(IF(E26&gt;=VLOOKUP(A26,基础信息表!E:I,4,0),"预警：库存过高，请及时去库存",""),"")</f>
        <v/>
      </c>
      <c r="H26" s="11"/>
    </row>
    <row r="27" s="4" customFormat="1" ht="11.5" customHeight="1" spans="1:8">
      <c r="A27" s="11">
        <f>基础信息表!A27</f>
        <v>0</v>
      </c>
      <c r="B27" s="11">
        <f>基础信息表!B27</f>
        <v>0</v>
      </c>
      <c r="C27" s="11">
        <f>SUMIFS(成品出入库表!J:J,成品出入库表!H:H,A27,成品出入库表!D:D,"退货入库")</f>
        <v>0</v>
      </c>
      <c r="D27" s="11">
        <f>SUMIFS(成品出入库表!J:J,成品出入库表!H:H,A27,成品出入库表!D:D,"销售出库")+SUMIFS(成品出入库表!J:J,成品出入库表!H:H,A27,成品出入库表!D:D,"领用出库")+SUMIFS(成品出入库表!J:J,成品出入库表!H:H,A27,成品出入库表!D:D,"报损出库")</f>
        <v>0</v>
      </c>
      <c r="E27" s="11">
        <f t="shared" si="0"/>
        <v>0</v>
      </c>
      <c r="F27" s="11" t="str">
        <f>IFERROR(IF(E27&lt;=VLOOKUP(A27,基础信息表!E:I,3,0),"警告：库存过低，请及时补充库存",""),"")</f>
        <v/>
      </c>
      <c r="G27" s="11" t="str">
        <f>IFERROR(IF(E27&gt;=VLOOKUP(A27,基础信息表!E:I,4,0),"预警：库存过高，请及时去库存",""),"")</f>
        <v/>
      </c>
      <c r="H27" s="11"/>
    </row>
    <row r="28" s="4" customFormat="1" ht="11.5" customHeight="1" spans="1:8">
      <c r="A28" s="11">
        <f>基础信息表!A28</f>
        <v>0</v>
      </c>
      <c r="B28" s="11">
        <f>基础信息表!B28</f>
        <v>0</v>
      </c>
      <c r="C28" s="11">
        <f>SUMIFS(成品出入库表!J:J,成品出入库表!H:H,A28,成品出入库表!D:D,"退货入库")</f>
        <v>0</v>
      </c>
      <c r="D28" s="11">
        <f>SUMIFS(成品出入库表!J:J,成品出入库表!H:H,A28,成品出入库表!D:D,"销售出库")+SUMIFS(成品出入库表!J:J,成品出入库表!H:H,A28,成品出入库表!D:D,"领用出库")+SUMIFS(成品出入库表!J:J,成品出入库表!H:H,A28,成品出入库表!D:D,"报损出库")</f>
        <v>0</v>
      </c>
      <c r="E28" s="11">
        <f t="shared" si="0"/>
        <v>0</v>
      </c>
      <c r="F28" s="11" t="str">
        <f>IFERROR(IF(E28&lt;=VLOOKUP(A28,基础信息表!E:I,3,0),"警告：库存过低，请及时补充库存",""),"")</f>
        <v/>
      </c>
      <c r="G28" s="11" t="str">
        <f>IFERROR(IF(E28&gt;=VLOOKUP(A28,基础信息表!E:I,4,0),"预警：库存过高，请及时去库存",""),"")</f>
        <v/>
      </c>
      <c r="H28" s="11"/>
    </row>
    <row r="29" s="4" customFormat="1" ht="11.5" customHeight="1" spans="1:8">
      <c r="A29" s="11">
        <f>基础信息表!A29</f>
        <v>0</v>
      </c>
      <c r="B29" s="11">
        <f>基础信息表!B29</f>
        <v>0</v>
      </c>
      <c r="C29" s="11">
        <f>SUMIFS(成品出入库表!J:J,成品出入库表!H:H,A29,成品出入库表!D:D,"退货入库")</f>
        <v>0</v>
      </c>
      <c r="D29" s="11">
        <f>SUMIFS(成品出入库表!J:J,成品出入库表!H:H,A29,成品出入库表!D:D,"销售出库")+SUMIFS(成品出入库表!J:J,成品出入库表!H:H,A29,成品出入库表!D:D,"领用出库")+SUMIFS(成品出入库表!J:J,成品出入库表!H:H,A29,成品出入库表!D:D,"报损出库")</f>
        <v>0</v>
      </c>
      <c r="E29" s="11">
        <f t="shared" si="0"/>
        <v>0</v>
      </c>
      <c r="F29" s="11" t="str">
        <f>IFERROR(IF(E29&lt;=VLOOKUP(A29,基础信息表!E:I,3,0),"警告：库存过低，请及时补充库存",""),"")</f>
        <v/>
      </c>
      <c r="G29" s="11" t="str">
        <f>IFERROR(IF(E29&gt;=VLOOKUP(A29,基础信息表!E:I,4,0),"预警：库存过高，请及时去库存",""),"")</f>
        <v/>
      </c>
      <c r="H29" s="11"/>
    </row>
    <row r="30" s="4" customFormat="1" ht="11.5" customHeight="1" spans="1:8">
      <c r="A30" s="11">
        <f>基础信息表!A30</f>
        <v>0</v>
      </c>
      <c r="B30" s="11">
        <f>基础信息表!B30</f>
        <v>0</v>
      </c>
      <c r="C30" s="11">
        <f>SUMIFS(成品出入库表!J:J,成品出入库表!H:H,A30,成品出入库表!D:D,"退货入库")</f>
        <v>0</v>
      </c>
      <c r="D30" s="11">
        <f>SUMIFS(成品出入库表!J:J,成品出入库表!H:H,A30,成品出入库表!D:D,"销售出库")+SUMIFS(成品出入库表!J:J,成品出入库表!H:H,A30,成品出入库表!D:D,"领用出库")+SUMIFS(成品出入库表!J:J,成品出入库表!H:H,A30,成品出入库表!D:D,"报损出库")</f>
        <v>0</v>
      </c>
      <c r="E30" s="11">
        <f t="shared" si="0"/>
        <v>0</v>
      </c>
      <c r="F30" s="11" t="str">
        <f>IFERROR(IF(E30&lt;=VLOOKUP(A30,基础信息表!E:I,3,0),"警告：库存过低，请及时补充库存",""),"")</f>
        <v/>
      </c>
      <c r="G30" s="11" t="str">
        <f>IFERROR(IF(E30&gt;=VLOOKUP(A30,基础信息表!E:I,4,0),"预警：库存过高，请及时去库存",""),"")</f>
        <v/>
      </c>
      <c r="H30" s="11"/>
    </row>
    <row r="31" s="4" customFormat="1" ht="11.5" customHeight="1" spans="1:8">
      <c r="A31" s="11">
        <f>基础信息表!A31</f>
        <v>0</v>
      </c>
      <c r="B31" s="11">
        <f>基础信息表!B31</f>
        <v>0</v>
      </c>
      <c r="C31" s="11">
        <f>SUMIFS(成品出入库表!J:J,成品出入库表!H:H,A31,成品出入库表!D:D,"退货入库")</f>
        <v>0</v>
      </c>
      <c r="D31" s="11">
        <f>SUMIFS(成品出入库表!J:J,成品出入库表!H:H,A31,成品出入库表!D:D,"销售出库")+SUMIFS(成品出入库表!J:J,成品出入库表!H:H,A31,成品出入库表!D:D,"领用出库")+SUMIFS(成品出入库表!J:J,成品出入库表!H:H,A31,成品出入库表!D:D,"报损出库")</f>
        <v>0</v>
      </c>
      <c r="E31" s="11">
        <f t="shared" si="0"/>
        <v>0</v>
      </c>
      <c r="F31" s="11" t="str">
        <f>IFERROR(IF(E31&lt;=VLOOKUP(A31,基础信息表!E:I,3,0),"警告：库存过低，请及时补充库存",""),"")</f>
        <v/>
      </c>
      <c r="G31" s="11" t="str">
        <f>IFERROR(IF(E31&gt;=VLOOKUP(A31,基础信息表!E:I,4,0),"预警：库存过高，请及时去库存",""),"")</f>
        <v/>
      </c>
      <c r="H31" s="11"/>
    </row>
    <row r="32" s="4" customFormat="1" ht="11.5" customHeight="1" spans="1:8">
      <c r="A32" s="11">
        <f>基础信息表!A32</f>
        <v>0</v>
      </c>
      <c r="B32" s="11">
        <f>基础信息表!B32</f>
        <v>0</v>
      </c>
      <c r="C32" s="11">
        <f>SUMIFS(成品出入库表!J:J,成品出入库表!H:H,A32,成品出入库表!D:D,"退货入库")</f>
        <v>0</v>
      </c>
      <c r="D32" s="11">
        <f>SUMIFS(成品出入库表!J:J,成品出入库表!H:H,A32,成品出入库表!D:D,"销售出库")+SUMIFS(成品出入库表!J:J,成品出入库表!H:H,A32,成品出入库表!D:D,"领用出库")+SUMIFS(成品出入库表!J:J,成品出入库表!H:H,A32,成品出入库表!D:D,"报损出库")</f>
        <v>0</v>
      </c>
      <c r="E32" s="11">
        <f t="shared" si="0"/>
        <v>0</v>
      </c>
      <c r="F32" s="11" t="str">
        <f>IFERROR(IF(E32&lt;=VLOOKUP(A32,基础信息表!E:I,3,0),"警告：库存过低，请及时补充库存",""),"")</f>
        <v/>
      </c>
      <c r="G32" s="11" t="str">
        <f>IFERROR(IF(E32&gt;=VLOOKUP(A32,基础信息表!E:I,4,0),"预警：库存过高，请及时去库存",""),"")</f>
        <v/>
      </c>
      <c r="H32" s="11"/>
    </row>
    <row r="33" s="4" customFormat="1" ht="11.5" customHeight="1" spans="1:8">
      <c r="A33" s="11">
        <f>基础信息表!A33</f>
        <v>0</v>
      </c>
      <c r="B33" s="11">
        <f>基础信息表!B33</f>
        <v>0</v>
      </c>
      <c r="C33" s="11">
        <f>SUMIFS(成品出入库表!J:J,成品出入库表!H:H,A33,成品出入库表!D:D,"退货入库")</f>
        <v>0</v>
      </c>
      <c r="D33" s="11">
        <f>SUMIFS(成品出入库表!J:J,成品出入库表!H:H,A33,成品出入库表!D:D,"销售出库")+SUMIFS(成品出入库表!J:J,成品出入库表!H:H,A33,成品出入库表!D:D,"领用出库")+SUMIFS(成品出入库表!J:J,成品出入库表!H:H,A33,成品出入库表!D:D,"报损出库")</f>
        <v>0</v>
      </c>
      <c r="E33" s="11">
        <f t="shared" si="0"/>
        <v>0</v>
      </c>
      <c r="F33" s="11" t="str">
        <f>IFERROR(IF(E33&lt;=VLOOKUP(A33,基础信息表!E:I,3,0),"警告：库存过低，请及时补充库存",""),"")</f>
        <v/>
      </c>
      <c r="G33" s="11" t="str">
        <f>IFERROR(IF(E33&gt;=VLOOKUP(A33,基础信息表!E:I,4,0),"预警：库存过高，请及时去库存",""),"")</f>
        <v/>
      </c>
      <c r="H33" s="11"/>
    </row>
    <row r="34" s="4" customFormat="1" ht="11.5" customHeight="1" spans="1:8">
      <c r="A34" s="11">
        <f>基础信息表!A34</f>
        <v>0</v>
      </c>
      <c r="B34" s="11">
        <f>基础信息表!B34</f>
        <v>0</v>
      </c>
      <c r="C34" s="11">
        <f>SUMIFS(成品出入库表!J:J,成品出入库表!H:H,A34,成品出入库表!D:D,"退货入库")</f>
        <v>0</v>
      </c>
      <c r="D34" s="11">
        <f>SUMIFS(成品出入库表!J:J,成品出入库表!H:H,A34,成品出入库表!D:D,"销售出库")+SUMIFS(成品出入库表!J:J,成品出入库表!H:H,A34,成品出入库表!D:D,"领用出库")+SUMIFS(成品出入库表!J:J,成品出入库表!H:H,A34,成品出入库表!D:D,"报损出库")</f>
        <v>0</v>
      </c>
      <c r="E34" s="11">
        <f t="shared" si="0"/>
        <v>0</v>
      </c>
      <c r="F34" s="11" t="str">
        <f>IFERROR(IF(E34&lt;=VLOOKUP(A34,基础信息表!E:I,3,0),"警告：库存过低，请及时补充库存",""),"")</f>
        <v/>
      </c>
      <c r="G34" s="11" t="str">
        <f>IFERROR(IF(E34&gt;=VLOOKUP(A34,基础信息表!E:I,4,0),"预警：库存过高，请及时去库存",""),"")</f>
        <v/>
      </c>
      <c r="H34" s="11"/>
    </row>
    <row r="35" s="4" customFormat="1" ht="11.5" customHeight="1" spans="1:8">
      <c r="A35" s="11">
        <f>基础信息表!A35</f>
        <v>0</v>
      </c>
      <c r="B35" s="11">
        <f>基础信息表!B35</f>
        <v>0</v>
      </c>
      <c r="C35" s="11">
        <f>SUMIFS(成品出入库表!J:J,成品出入库表!H:H,A35,成品出入库表!D:D,"退货入库")</f>
        <v>0</v>
      </c>
      <c r="D35" s="11">
        <f>SUMIFS(成品出入库表!J:J,成品出入库表!H:H,A35,成品出入库表!D:D,"销售出库")+SUMIFS(成品出入库表!J:J,成品出入库表!H:H,A35,成品出入库表!D:D,"领用出库")+SUMIFS(成品出入库表!J:J,成品出入库表!H:H,A35,成品出入库表!D:D,"报损出库")</f>
        <v>0</v>
      </c>
      <c r="E35" s="11">
        <f t="shared" si="0"/>
        <v>0</v>
      </c>
      <c r="F35" s="11" t="str">
        <f>IFERROR(IF(E35&lt;=VLOOKUP(A35,基础信息表!E:I,3,0),"警告：库存过低，请及时补充库存",""),"")</f>
        <v/>
      </c>
      <c r="G35" s="11" t="str">
        <f>IFERROR(IF(E35&gt;=VLOOKUP(A35,基础信息表!E:I,4,0),"预警：库存过高，请及时去库存",""),"")</f>
        <v/>
      </c>
      <c r="H35" s="11"/>
    </row>
    <row r="36" s="4" customFormat="1" ht="11.5" customHeight="1" spans="1:8">
      <c r="A36" s="11">
        <f>基础信息表!A36</f>
        <v>0</v>
      </c>
      <c r="B36" s="11">
        <f>基础信息表!B36</f>
        <v>0</v>
      </c>
      <c r="C36" s="11">
        <f>SUMIFS(成品出入库表!J:J,成品出入库表!H:H,A36,成品出入库表!D:D,"退货入库")</f>
        <v>0</v>
      </c>
      <c r="D36" s="11">
        <f>SUMIFS(成品出入库表!J:J,成品出入库表!H:H,A36,成品出入库表!D:D,"销售出库")+SUMIFS(成品出入库表!J:J,成品出入库表!H:H,A36,成品出入库表!D:D,"领用出库")+SUMIFS(成品出入库表!J:J,成品出入库表!H:H,A36,成品出入库表!D:D,"报损出库")</f>
        <v>0</v>
      </c>
      <c r="E36" s="11">
        <f t="shared" si="0"/>
        <v>0</v>
      </c>
      <c r="F36" s="11" t="str">
        <f>IFERROR(IF(E36&lt;=VLOOKUP(A36,基础信息表!E:I,3,0),"警告：库存过低，请及时补充库存",""),"")</f>
        <v/>
      </c>
      <c r="G36" s="11" t="str">
        <f>IFERROR(IF(E36&gt;=VLOOKUP(A36,基础信息表!E:I,4,0),"预警：库存过高，请及时去库存",""),"")</f>
        <v/>
      </c>
      <c r="H36" s="11"/>
    </row>
    <row r="37" s="4" customFormat="1" ht="11.5" customHeight="1" spans="1:8">
      <c r="A37" s="11">
        <f>基础信息表!A37</f>
        <v>0</v>
      </c>
      <c r="B37" s="11">
        <f>基础信息表!B37</f>
        <v>0</v>
      </c>
      <c r="C37" s="11">
        <f>SUMIFS(成品出入库表!J:J,成品出入库表!H:H,A37,成品出入库表!D:D,"退货入库")</f>
        <v>0</v>
      </c>
      <c r="D37" s="11">
        <f>SUMIFS(成品出入库表!J:J,成品出入库表!H:H,A37,成品出入库表!D:D,"销售出库")+SUMIFS(成品出入库表!J:J,成品出入库表!H:H,A37,成品出入库表!D:D,"领用出库")+SUMIFS(成品出入库表!J:J,成品出入库表!H:H,A37,成品出入库表!D:D,"报损出库")</f>
        <v>0</v>
      </c>
      <c r="E37" s="11">
        <f t="shared" si="0"/>
        <v>0</v>
      </c>
      <c r="F37" s="11" t="str">
        <f>IFERROR(IF(E37&lt;=VLOOKUP(A37,基础信息表!E:I,3,0),"警告：库存过低，请及时补充库存",""),"")</f>
        <v/>
      </c>
      <c r="G37" s="11" t="str">
        <f>IFERROR(IF(E37&gt;=VLOOKUP(A37,基础信息表!E:I,4,0),"预警：库存过高，请及时去库存",""),"")</f>
        <v/>
      </c>
      <c r="H37" s="11"/>
    </row>
    <row r="38" s="4" customFormat="1" ht="11.5" customHeight="1" spans="1:8">
      <c r="A38" s="11">
        <f>基础信息表!A38</f>
        <v>0</v>
      </c>
      <c r="B38" s="11">
        <f>基础信息表!B38</f>
        <v>0</v>
      </c>
      <c r="C38" s="11">
        <f>SUMIFS(成品出入库表!J:J,成品出入库表!H:H,A38,成品出入库表!D:D,"退货入库")</f>
        <v>0</v>
      </c>
      <c r="D38" s="11">
        <f>SUMIFS(成品出入库表!J:J,成品出入库表!H:H,A38,成品出入库表!D:D,"销售出库")+SUMIFS(成品出入库表!J:J,成品出入库表!H:H,A38,成品出入库表!D:D,"领用出库")+SUMIFS(成品出入库表!J:J,成品出入库表!H:H,A38,成品出入库表!D:D,"报损出库")</f>
        <v>0</v>
      </c>
      <c r="E38" s="11">
        <f t="shared" si="0"/>
        <v>0</v>
      </c>
      <c r="F38" s="11" t="str">
        <f>IFERROR(IF(E38&lt;=VLOOKUP(A38,基础信息表!E:I,3,0),"警告：库存过低，请及时补充库存",""),"")</f>
        <v/>
      </c>
      <c r="G38" s="11" t="str">
        <f>IFERROR(IF(E38&gt;=VLOOKUP(A38,基础信息表!E:I,4,0),"预警：库存过高，请及时去库存",""),"")</f>
        <v/>
      </c>
      <c r="H38" s="11"/>
    </row>
    <row r="39" s="4" customFormat="1" ht="11.5" customHeight="1" spans="1:8">
      <c r="A39" s="11">
        <f>基础信息表!A39</f>
        <v>0</v>
      </c>
      <c r="B39" s="11">
        <f>基础信息表!B39</f>
        <v>0</v>
      </c>
      <c r="C39" s="11">
        <f>SUMIFS(成品出入库表!J:J,成品出入库表!H:H,A39,成品出入库表!D:D,"退货入库")</f>
        <v>0</v>
      </c>
      <c r="D39" s="11">
        <f>SUMIFS(成品出入库表!J:J,成品出入库表!H:H,A39,成品出入库表!D:D,"销售出库")+SUMIFS(成品出入库表!J:J,成品出入库表!H:H,A39,成品出入库表!D:D,"领用出库")+SUMIFS(成品出入库表!J:J,成品出入库表!H:H,A39,成品出入库表!D:D,"报损出库")</f>
        <v>0</v>
      </c>
      <c r="E39" s="11">
        <f t="shared" si="0"/>
        <v>0</v>
      </c>
      <c r="F39" s="11" t="str">
        <f>IFERROR(IF(E39&lt;=VLOOKUP(A39,基础信息表!E:I,3,0),"警告：库存过低，请及时补充库存",""),"")</f>
        <v/>
      </c>
      <c r="G39" s="11" t="str">
        <f>IFERROR(IF(E39&gt;=VLOOKUP(A39,基础信息表!E:I,4,0),"预警：库存过高，请及时去库存",""),"")</f>
        <v/>
      </c>
      <c r="H39" s="11"/>
    </row>
    <row r="40" s="4" customFormat="1" ht="11.5" customHeight="1" spans="1:8">
      <c r="A40" s="11">
        <f>基础信息表!A40</f>
        <v>0</v>
      </c>
      <c r="B40" s="11">
        <f>基础信息表!B40</f>
        <v>0</v>
      </c>
      <c r="C40" s="11">
        <f>SUMIFS(成品出入库表!J:J,成品出入库表!H:H,A40,成品出入库表!D:D,"退货入库")</f>
        <v>0</v>
      </c>
      <c r="D40" s="11">
        <f>SUMIFS(成品出入库表!J:J,成品出入库表!H:H,A40,成品出入库表!D:D,"销售出库")+SUMIFS(成品出入库表!J:J,成品出入库表!H:H,A40,成品出入库表!D:D,"领用出库")+SUMIFS(成品出入库表!J:J,成品出入库表!H:H,A40,成品出入库表!D:D,"报损出库")</f>
        <v>0</v>
      </c>
      <c r="E40" s="11">
        <f t="shared" si="0"/>
        <v>0</v>
      </c>
      <c r="F40" s="11" t="str">
        <f>IFERROR(IF(E40&lt;=VLOOKUP(A40,基础信息表!E:I,3,0),"警告：库存过低，请及时补充库存",""),"")</f>
        <v/>
      </c>
      <c r="G40" s="11" t="str">
        <f>IFERROR(IF(E40&gt;=VLOOKUP(A40,基础信息表!E:I,4,0),"预警：库存过高，请及时去库存",""),"")</f>
        <v/>
      </c>
      <c r="H40" s="11"/>
    </row>
    <row r="41" s="4" customFormat="1" ht="11.5" customHeight="1" spans="1:8">
      <c r="A41" s="11">
        <f>基础信息表!A41</f>
        <v>0</v>
      </c>
      <c r="B41" s="11">
        <f>基础信息表!B41</f>
        <v>0</v>
      </c>
      <c r="C41" s="11">
        <f>SUMIFS(成品出入库表!J:J,成品出入库表!H:H,A41,成品出入库表!D:D,"退货入库")</f>
        <v>0</v>
      </c>
      <c r="D41" s="11">
        <f>SUMIFS(成品出入库表!J:J,成品出入库表!H:H,A41,成品出入库表!D:D,"销售出库")+SUMIFS(成品出入库表!J:J,成品出入库表!H:H,A41,成品出入库表!D:D,"领用出库")+SUMIFS(成品出入库表!J:J,成品出入库表!H:H,A41,成品出入库表!D:D,"报损出库")</f>
        <v>0</v>
      </c>
      <c r="E41" s="11">
        <f t="shared" si="0"/>
        <v>0</v>
      </c>
      <c r="F41" s="11" t="str">
        <f>IFERROR(IF(E41&lt;=VLOOKUP(A41,基础信息表!E:I,3,0),"警告：库存过低，请及时补充库存",""),"")</f>
        <v/>
      </c>
      <c r="G41" s="11" t="str">
        <f>IFERROR(IF(E41&gt;=VLOOKUP(A41,基础信息表!E:I,4,0),"预警：库存过高，请及时去库存",""),"")</f>
        <v/>
      </c>
      <c r="H41" s="11"/>
    </row>
    <row r="42" s="4" customFormat="1" ht="11.5" customHeight="1" spans="1:8">
      <c r="A42" s="11">
        <f>基础信息表!A42</f>
        <v>0</v>
      </c>
      <c r="B42" s="11">
        <f>基础信息表!B42</f>
        <v>0</v>
      </c>
      <c r="C42" s="11">
        <f>SUMIFS(成品出入库表!J:J,成品出入库表!H:H,A42,成品出入库表!D:D,"退货入库")</f>
        <v>0</v>
      </c>
      <c r="D42" s="11">
        <f>SUMIFS(成品出入库表!J:J,成品出入库表!H:H,A42,成品出入库表!D:D,"销售出库")+SUMIFS(成品出入库表!J:J,成品出入库表!H:H,A42,成品出入库表!D:D,"领用出库")+SUMIFS(成品出入库表!J:J,成品出入库表!H:H,A42,成品出入库表!D:D,"报损出库")</f>
        <v>0</v>
      </c>
      <c r="E42" s="11">
        <f t="shared" si="0"/>
        <v>0</v>
      </c>
      <c r="F42" s="11" t="str">
        <f>IFERROR(IF(E42&lt;=VLOOKUP(A42,基础信息表!E:I,3,0),"警告：库存过低，请及时补充库存",""),"")</f>
        <v/>
      </c>
      <c r="G42" s="11" t="str">
        <f>IFERROR(IF(E42&gt;=VLOOKUP(A42,基础信息表!E:I,4,0),"预警：库存过高，请及时去库存",""),"")</f>
        <v/>
      </c>
      <c r="H42" s="11"/>
    </row>
    <row r="43" s="4" customFormat="1" ht="11.5" customHeight="1" spans="1:8">
      <c r="A43" s="11">
        <f>基础信息表!A43</f>
        <v>0</v>
      </c>
      <c r="B43" s="11">
        <f>基础信息表!B43</f>
        <v>0</v>
      </c>
      <c r="C43" s="11">
        <f>SUMIFS(成品出入库表!J:J,成品出入库表!H:H,A43,成品出入库表!D:D,"退货入库")</f>
        <v>0</v>
      </c>
      <c r="D43" s="11">
        <f>SUMIFS(成品出入库表!J:J,成品出入库表!H:H,A43,成品出入库表!D:D,"销售出库")+SUMIFS(成品出入库表!J:J,成品出入库表!H:H,A43,成品出入库表!D:D,"领用出库")+SUMIFS(成品出入库表!J:J,成品出入库表!H:H,A43,成品出入库表!D:D,"报损出库")</f>
        <v>0</v>
      </c>
      <c r="E43" s="11">
        <f t="shared" si="0"/>
        <v>0</v>
      </c>
      <c r="F43" s="11" t="str">
        <f>IFERROR(IF(E43&lt;=VLOOKUP(A43,基础信息表!E:I,3,0),"警告：库存过低，请及时补充库存",""),"")</f>
        <v/>
      </c>
      <c r="G43" s="11" t="str">
        <f>IFERROR(IF(E43&gt;=VLOOKUP(A43,基础信息表!E:I,4,0),"预警：库存过高，请及时去库存",""),"")</f>
        <v/>
      </c>
      <c r="H43" s="11"/>
    </row>
    <row r="44" s="4" customFormat="1" ht="11.5" customHeight="1" spans="1:8">
      <c r="A44" s="11">
        <f>基础信息表!A44</f>
        <v>0</v>
      </c>
      <c r="B44" s="11">
        <f>基础信息表!B44</f>
        <v>0</v>
      </c>
      <c r="C44" s="11">
        <f>SUMIFS(成品出入库表!J:J,成品出入库表!H:H,A44,成品出入库表!D:D,"退货入库")</f>
        <v>0</v>
      </c>
      <c r="D44" s="11">
        <f>SUMIFS(成品出入库表!J:J,成品出入库表!H:H,A44,成品出入库表!D:D,"销售出库")+SUMIFS(成品出入库表!J:J,成品出入库表!H:H,A44,成品出入库表!D:D,"领用出库")+SUMIFS(成品出入库表!J:J,成品出入库表!H:H,A44,成品出入库表!D:D,"报损出库")</f>
        <v>0</v>
      </c>
      <c r="E44" s="11">
        <f t="shared" si="0"/>
        <v>0</v>
      </c>
      <c r="F44" s="11" t="str">
        <f>IFERROR(IF(E44&lt;=VLOOKUP(A44,基础信息表!E:I,3,0),"警告：库存过低，请及时补充库存",""),"")</f>
        <v/>
      </c>
      <c r="G44" s="11" t="str">
        <f>IFERROR(IF(E44&gt;=VLOOKUP(A44,基础信息表!E:I,4,0),"预警：库存过高，请及时去库存",""),"")</f>
        <v/>
      </c>
      <c r="H44" s="11"/>
    </row>
    <row r="45" s="4" customFormat="1" ht="11.5" customHeight="1" spans="1:8">
      <c r="A45" s="11">
        <f>基础信息表!A45</f>
        <v>0</v>
      </c>
      <c r="B45" s="11">
        <f>基础信息表!B45</f>
        <v>0</v>
      </c>
      <c r="C45" s="11">
        <f>SUMIFS(成品出入库表!J:J,成品出入库表!H:H,A45,成品出入库表!D:D,"退货入库")</f>
        <v>0</v>
      </c>
      <c r="D45" s="11">
        <f>SUMIFS(成品出入库表!J:J,成品出入库表!H:H,A45,成品出入库表!D:D,"销售出库")+SUMIFS(成品出入库表!J:J,成品出入库表!H:H,A45,成品出入库表!D:D,"领用出库")+SUMIFS(成品出入库表!J:J,成品出入库表!H:H,A45,成品出入库表!D:D,"报损出库")</f>
        <v>0</v>
      </c>
      <c r="E45" s="11">
        <f t="shared" si="0"/>
        <v>0</v>
      </c>
      <c r="F45" s="11" t="str">
        <f>IFERROR(IF(E45&lt;=VLOOKUP(A45,基础信息表!E:I,3,0),"警告：库存过低，请及时补充库存",""),"")</f>
        <v/>
      </c>
      <c r="G45" s="11" t="str">
        <f>IFERROR(IF(E45&gt;=VLOOKUP(A45,基础信息表!E:I,4,0),"预警：库存过高，请及时去库存",""),"")</f>
        <v/>
      </c>
      <c r="H45" s="11"/>
    </row>
    <row r="46" s="4" customFormat="1" ht="11.5" customHeight="1" spans="1:8">
      <c r="A46" s="11">
        <f>基础信息表!A46</f>
        <v>0</v>
      </c>
      <c r="B46" s="11">
        <f>基础信息表!B46</f>
        <v>0</v>
      </c>
      <c r="C46" s="11">
        <f>SUMIFS(成品出入库表!J:J,成品出入库表!H:H,A46,成品出入库表!D:D,"退货入库")</f>
        <v>0</v>
      </c>
      <c r="D46" s="11">
        <f>SUMIFS(成品出入库表!J:J,成品出入库表!H:H,A46,成品出入库表!D:D,"销售出库")+SUMIFS(成品出入库表!J:J,成品出入库表!H:H,A46,成品出入库表!D:D,"领用出库")+SUMIFS(成品出入库表!J:J,成品出入库表!H:H,A46,成品出入库表!D:D,"报损出库")</f>
        <v>0</v>
      </c>
      <c r="E46" s="11">
        <f t="shared" si="0"/>
        <v>0</v>
      </c>
      <c r="F46" s="11" t="str">
        <f>IFERROR(IF(E46&lt;=VLOOKUP(A46,基础信息表!E:I,3,0),"警告：库存过低，请及时补充库存",""),"")</f>
        <v/>
      </c>
      <c r="G46" s="11" t="str">
        <f>IFERROR(IF(E46&gt;=VLOOKUP(A46,基础信息表!E:I,4,0),"预警：库存过高，请及时去库存",""),"")</f>
        <v/>
      </c>
      <c r="H46" s="11"/>
    </row>
    <row r="47" s="4" customFormat="1" ht="11.5" customHeight="1" spans="1:8">
      <c r="A47" s="11">
        <f>基础信息表!A47</f>
        <v>0</v>
      </c>
      <c r="B47" s="11">
        <f>基础信息表!B47</f>
        <v>0</v>
      </c>
      <c r="C47" s="11">
        <f>SUMIFS(成品出入库表!J:J,成品出入库表!H:H,A47,成品出入库表!D:D,"退货入库")</f>
        <v>0</v>
      </c>
      <c r="D47" s="11">
        <f>SUMIFS(成品出入库表!J:J,成品出入库表!H:H,A47,成品出入库表!D:D,"销售出库")+SUMIFS(成品出入库表!J:J,成品出入库表!H:H,A47,成品出入库表!D:D,"领用出库")+SUMIFS(成品出入库表!J:J,成品出入库表!H:H,A47,成品出入库表!D:D,"报损出库")</f>
        <v>0</v>
      </c>
      <c r="E47" s="11">
        <f t="shared" si="0"/>
        <v>0</v>
      </c>
      <c r="F47" s="11" t="str">
        <f>IFERROR(IF(E47&lt;=VLOOKUP(A47,基础信息表!E:I,3,0),"警告：库存过低，请及时补充库存",""),"")</f>
        <v/>
      </c>
      <c r="G47" s="11" t="str">
        <f>IFERROR(IF(E47&gt;=VLOOKUP(A47,基础信息表!E:I,4,0),"预警：库存过高，请及时去库存",""),"")</f>
        <v/>
      </c>
      <c r="H47" s="11"/>
    </row>
    <row r="48" s="4" customFormat="1" ht="11.5" customHeight="1" spans="1:8">
      <c r="A48" s="11">
        <f>基础信息表!A48</f>
        <v>0</v>
      </c>
      <c r="B48" s="11">
        <f>基础信息表!B48</f>
        <v>0</v>
      </c>
      <c r="C48" s="11">
        <f>SUMIFS(成品出入库表!J:J,成品出入库表!H:H,A48,成品出入库表!D:D,"退货入库")</f>
        <v>0</v>
      </c>
      <c r="D48" s="11">
        <f>SUMIFS(成品出入库表!J:J,成品出入库表!H:H,A48,成品出入库表!D:D,"销售出库")+SUMIFS(成品出入库表!J:J,成品出入库表!H:H,A48,成品出入库表!D:D,"领用出库")+SUMIFS(成品出入库表!J:J,成品出入库表!H:H,A48,成品出入库表!D:D,"报损出库")</f>
        <v>0</v>
      </c>
      <c r="E48" s="11">
        <f t="shared" si="0"/>
        <v>0</v>
      </c>
      <c r="F48" s="11" t="str">
        <f>IFERROR(IF(E48&lt;=VLOOKUP(A48,基础信息表!E:I,3,0),"警告：库存过低，请及时补充库存",""),"")</f>
        <v/>
      </c>
      <c r="G48" s="11" t="str">
        <f>IFERROR(IF(E48&gt;=VLOOKUP(A48,基础信息表!E:I,4,0),"预警：库存过高，请及时去库存",""),"")</f>
        <v/>
      </c>
      <c r="H48" s="11"/>
    </row>
    <row r="49" s="4" customFormat="1" ht="11.5" customHeight="1" spans="1:8">
      <c r="A49" s="11">
        <f>基础信息表!A49</f>
        <v>0</v>
      </c>
      <c r="B49" s="11">
        <f>基础信息表!B49</f>
        <v>0</v>
      </c>
      <c r="C49" s="11">
        <f>SUMIFS(成品出入库表!J:J,成品出入库表!H:H,A49,成品出入库表!D:D,"退货入库")</f>
        <v>0</v>
      </c>
      <c r="D49" s="11">
        <f>SUMIFS(成品出入库表!J:J,成品出入库表!H:H,A49,成品出入库表!D:D,"销售出库")+SUMIFS(成品出入库表!J:J,成品出入库表!H:H,A49,成品出入库表!D:D,"领用出库")+SUMIFS(成品出入库表!J:J,成品出入库表!H:H,A49,成品出入库表!D:D,"报损出库")</f>
        <v>0</v>
      </c>
      <c r="E49" s="11">
        <f t="shared" si="0"/>
        <v>0</v>
      </c>
      <c r="F49" s="11" t="str">
        <f>IFERROR(IF(E49&lt;=VLOOKUP(A49,基础信息表!E:I,3,0),"警告：库存过低，请及时补充库存",""),"")</f>
        <v/>
      </c>
      <c r="G49" s="11" t="str">
        <f>IFERROR(IF(E49&gt;=VLOOKUP(A49,基础信息表!E:I,4,0),"预警：库存过高，请及时去库存",""),"")</f>
        <v/>
      </c>
      <c r="H49" s="11"/>
    </row>
    <row r="50" s="4" customFormat="1" ht="11.5" customHeight="1" spans="1:8">
      <c r="A50" s="11">
        <f>基础信息表!A50</f>
        <v>0</v>
      </c>
      <c r="B50" s="11">
        <f>基础信息表!B50</f>
        <v>0</v>
      </c>
      <c r="C50" s="11">
        <f>SUMIFS(成品出入库表!J:J,成品出入库表!H:H,A50,成品出入库表!D:D,"退货入库")</f>
        <v>0</v>
      </c>
      <c r="D50" s="11">
        <f>SUMIFS(成品出入库表!J:J,成品出入库表!H:H,A50,成品出入库表!D:D,"销售出库")+SUMIFS(成品出入库表!J:J,成品出入库表!H:H,A50,成品出入库表!D:D,"领用出库")+SUMIFS(成品出入库表!J:J,成品出入库表!H:H,A50,成品出入库表!D:D,"报损出库")</f>
        <v>0</v>
      </c>
      <c r="E50" s="11">
        <f t="shared" si="0"/>
        <v>0</v>
      </c>
      <c r="F50" s="11" t="str">
        <f>IFERROR(IF(E50&lt;=VLOOKUP(A50,基础信息表!E:I,3,0),"警告：库存过低，请及时补充库存",""),"")</f>
        <v/>
      </c>
      <c r="G50" s="11" t="str">
        <f>IFERROR(IF(E50&gt;=VLOOKUP(A50,基础信息表!E:I,4,0),"预警：库存过高，请及时去库存",""),"")</f>
        <v/>
      </c>
      <c r="H50" s="11"/>
    </row>
    <row r="51" s="4" customFormat="1" ht="11.5" customHeight="1" spans="1:8">
      <c r="A51" s="11">
        <f>基础信息表!A51</f>
        <v>0</v>
      </c>
      <c r="B51" s="11">
        <f>基础信息表!B51</f>
        <v>0</v>
      </c>
      <c r="C51" s="11">
        <f>SUMIFS(成品出入库表!J:J,成品出入库表!H:H,A51,成品出入库表!D:D,"退货入库")</f>
        <v>0</v>
      </c>
      <c r="D51" s="11">
        <f>SUMIFS(成品出入库表!J:J,成品出入库表!H:H,A51,成品出入库表!D:D,"销售出库")+SUMIFS(成品出入库表!J:J,成品出入库表!H:H,A51,成品出入库表!D:D,"领用出库")+SUMIFS(成品出入库表!J:J,成品出入库表!H:H,A51,成品出入库表!D:D,"报损出库")</f>
        <v>0</v>
      </c>
      <c r="E51" s="11">
        <f t="shared" si="0"/>
        <v>0</v>
      </c>
      <c r="F51" s="11" t="str">
        <f>IFERROR(IF(E51&lt;=VLOOKUP(A51,基础信息表!E:I,3,0),"警告：库存过低，请及时补充库存",""),"")</f>
        <v/>
      </c>
      <c r="G51" s="11" t="str">
        <f>IFERROR(IF(E51&gt;=VLOOKUP(A51,基础信息表!E:I,4,0),"预警：库存过高，请及时去库存",""),"")</f>
        <v/>
      </c>
      <c r="H51" s="11"/>
    </row>
    <row r="52" s="4" customFormat="1" ht="11.5" customHeight="1" spans="1:8">
      <c r="A52" s="11">
        <f>基础信息表!A52</f>
        <v>0</v>
      </c>
      <c r="B52" s="11">
        <f>基础信息表!B52</f>
        <v>0</v>
      </c>
      <c r="C52" s="11">
        <f>SUMIFS(成品出入库表!J:J,成品出入库表!H:H,A52,成品出入库表!D:D,"退货入库")</f>
        <v>0</v>
      </c>
      <c r="D52" s="11">
        <f>SUMIFS(成品出入库表!J:J,成品出入库表!H:H,A52,成品出入库表!D:D,"销售出库")+SUMIFS(成品出入库表!J:J,成品出入库表!H:H,A52,成品出入库表!D:D,"领用出库")+SUMIFS(成品出入库表!J:J,成品出入库表!H:H,A52,成品出入库表!D:D,"报损出库")</f>
        <v>0</v>
      </c>
      <c r="E52" s="11">
        <f t="shared" si="0"/>
        <v>0</v>
      </c>
      <c r="F52" s="11" t="str">
        <f>IFERROR(IF(E52&lt;=VLOOKUP(A52,基础信息表!E:I,3,0),"警告：库存过低，请及时补充库存",""),"")</f>
        <v/>
      </c>
      <c r="G52" s="11" t="str">
        <f>IFERROR(IF(E52&gt;=VLOOKUP(A52,基础信息表!E:I,4,0),"预警：库存过高，请及时去库存",""),"")</f>
        <v/>
      </c>
      <c r="H52" s="11"/>
    </row>
    <row r="53" s="4" customFormat="1" ht="11.5" customHeight="1" spans="1:8">
      <c r="A53" s="11">
        <f>基础信息表!A53</f>
        <v>0</v>
      </c>
      <c r="B53" s="11">
        <f>基础信息表!B53</f>
        <v>0</v>
      </c>
      <c r="C53" s="11">
        <f>SUMIFS(成品出入库表!J:J,成品出入库表!H:H,A53,成品出入库表!D:D,"退货入库")</f>
        <v>0</v>
      </c>
      <c r="D53" s="11">
        <f>SUMIFS(成品出入库表!J:J,成品出入库表!H:H,A53,成品出入库表!D:D,"销售出库")+SUMIFS(成品出入库表!J:J,成品出入库表!H:H,A53,成品出入库表!D:D,"领用出库")+SUMIFS(成品出入库表!J:J,成品出入库表!H:H,A53,成品出入库表!D:D,"报损出库")</f>
        <v>0</v>
      </c>
      <c r="E53" s="11">
        <f t="shared" si="0"/>
        <v>0</v>
      </c>
      <c r="F53" s="11" t="str">
        <f>IFERROR(IF(E53&lt;=VLOOKUP(A53,基础信息表!E:I,3,0),"警告：库存过低，请及时补充库存",""),"")</f>
        <v/>
      </c>
      <c r="G53" s="11" t="str">
        <f>IFERROR(IF(E53&gt;=VLOOKUP(A53,基础信息表!E:I,4,0),"预警：库存过高，请及时去库存",""),"")</f>
        <v/>
      </c>
      <c r="H53" s="11"/>
    </row>
    <row r="54" s="4" customFormat="1" ht="11.5" customHeight="1" spans="1:8">
      <c r="A54" s="11">
        <f>基础信息表!A54</f>
        <v>0</v>
      </c>
      <c r="B54" s="11">
        <f>基础信息表!B54</f>
        <v>0</v>
      </c>
      <c r="C54" s="11">
        <f>SUMIFS(成品出入库表!J:J,成品出入库表!H:H,A54,成品出入库表!D:D,"退货入库")</f>
        <v>0</v>
      </c>
      <c r="D54" s="11">
        <f>SUMIFS(成品出入库表!J:J,成品出入库表!H:H,A54,成品出入库表!D:D,"销售出库")+SUMIFS(成品出入库表!J:J,成品出入库表!H:H,A54,成品出入库表!D:D,"领用出库")+SUMIFS(成品出入库表!J:J,成品出入库表!H:H,A54,成品出入库表!D:D,"报损出库")</f>
        <v>0</v>
      </c>
      <c r="E54" s="11">
        <f t="shared" si="0"/>
        <v>0</v>
      </c>
      <c r="F54" s="11" t="str">
        <f>IFERROR(IF(E54&lt;=VLOOKUP(A54,基础信息表!E:I,3,0),"警告：库存过低，请及时补充库存",""),"")</f>
        <v/>
      </c>
      <c r="G54" s="11" t="str">
        <f>IFERROR(IF(E54&gt;=VLOOKUP(A54,基础信息表!E:I,4,0),"预警：库存过高，请及时去库存",""),"")</f>
        <v/>
      </c>
      <c r="H54" s="11"/>
    </row>
    <row r="55" s="4" customFormat="1" ht="11.5" customHeight="1" spans="1:8">
      <c r="A55" s="11">
        <f>基础信息表!A55</f>
        <v>0</v>
      </c>
      <c r="B55" s="11">
        <f>基础信息表!B55</f>
        <v>0</v>
      </c>
      <c r="C55" s="11">
        <f>SUMIFS(成品出入库表!J:J,成品出入库表!H:H,A55,成品出入库表!D:D,"退货入库")</f>
        <v>0</v>
      </c>
      <c r="D55" s="11">
        <f>SUMIFS(成品出入库表!J:J,成品出入库表!H:H,A55,成品出入库表!D:D,"销售出库")+SUMIFS(成品出入库表!J:J,成品出入库表!H:H,A55,成品出入库表!D:D,"领用出库")+SUMIFS(成品出入库表!J:J,成品出入库表!H:H,A55,成品出入库表!D:D,"报损出库")</f>
        <v>0</v>
      </c>
      <c r="E55" s="11">
        <f t="shared" si="0"/>
        <v>0</v>
      </c>
      <c r="F55" s="11" t="str">
        <f>IFERROR(IF(E55&lt;=VLOOKUP(A55,基础信息表!E:I,3,0),"警告：库存过低，请及时补充库存",""),"")</f>
        <v/>
      </c>
      <c r="G55" s="11" t="str">
        <f>IFERROR(IF(E55&gt;=VLOOKUP(A55,基础信息表!E:I,4,0),"预警：库存过高，请及时去库存",""),"")</f>
        <v/>
      </c>
      <c r="H55" s="11"/>
    </row>
    <row r="56" s="4" customFormat="1" ht="11.5" customHeight="1" spans="1:8">
      <c r="A56" s="11">
        <f>基础信息表!A56</f>
        <v>0</v>
      </c>
      <c r="B56" s="11">
        <f>基础信息表!B56</f>
        <v>0</v>
      </c>
      <c r="C56" s="11">
        <f>SUMIFS(成品出入库表!J:J,成品出入库表!H:H,A56,成品出入库表!D:D,"退货入库")</f>
        <v>0</v>
      </c>
      <c r="D56" s="11">
        <f>SUMIFS(成品出入库表!J:J,成品出入库表!H:H,A56,成品出入库表!D:D,"销售出库")+SUMIFS(成品出入库表!J:J,成品出入库表!H:H,A56,成品出入库表!D:D,"领用出库")+SUMIFS(成品出入库表!J:J,成品出入库表!H:H,A56,成品出入库表!D:D,"报损出库")</f>
        <v>0</v>
      </c>
      <c r="E56" s="11">
        <f t="shared" si="0"/>
        <v>0</v>
      </c>
      <c r="F56" s="11" t="str">
        <f>IFERROR(IF(E56&lt;=VLOOKUP(A56,基础信息表!E:I,3,0),"警告：库存过低，请及时补充库存",""),"")</f>
        <v/>
      </c>
      <c r="G56" s="11" t="str">
        <f>IFERROR(IF(E56&gt;=VLOOKUP(A56,基础信息表!E:I,4,0),"预警：库存过高，请及时去库存",""),"")</f>
        <v/>
      </c>
      <c r="H56" s="11"/>
    </row>
  </sheetData>
  <autoFilter xmlns:etc="http://www.wps.cn/officeDocument/2017/etCustomData" ref="A2:H56" etc:filterBottomFollowUsedRange="0">
    <extLst/>
  </autoFilter>
  <mergeCells count="1">
    <mergeCell ref="A1:H1"/>
  </mergeCells>
  <conditionalFormatting sqref="E$1:G$1048576">
    <cfRule type="cellIs" dxfId="0" priority="1" operator="lessThan">
      <formula>0</formula>
    </cfRule>
  </conditionalFormatting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N42"/>
  <sheetViews>
    <sheetView showGridLines="0" topLeftCell="A22" workbookViewId="0">
      <selection activeCell="T30" sqref="T30"/>
    </sheetView>
  </sheetViews>
  <sheetFormatPr defaultColWidth="8.87610619469027" defaultRowHeight="13.5"/>
  <cols>
    <col min="1" max="16384" width="8.87610619469027" style="1"/>
  </cols>
  <sheetData>
    <row r="1" spans="1:40">
      <c r="A1" s="2"/>
      <c r="B1" s="2"/>
      <c r="C1" s="2"/>
      <c r="D1" s="2"/>
      <c r="E1" s="2"/>
      <c r="F1" s="2"/>
      <c r="G1" s="2"/>
      <c r="H1" s="2"/>
      <c r="I1" s="2"/>
    </row>
    <row r="2" spans="1:40">
      <c r="A2" s="2"/>
      <c r="B2" s="2"/>
      <c r="C2" s="2"/>
      <c r="D2" s="2"/>
      <c r="E2" s="2"/>
      <c r="F2" s="2"/>
      <c r="G2" s="2"/>
      <c r="H2" s="2"/>
      <c r="I2" s="2"/>
    </row>
    <row r="3" spans="1:40">
      <c r="A3" s="2"/>
      <c r="B3" s="2"/>
      <c r="C3" s="2"/>
      <c r="D3" s="2"/>
      <c r="E3" s="2"/>
      <c r="F3" s="2"/>
      <c r="G3" s="2"/>
      <c r="H3" s="2"/>
      <c r="I3" s="2"/>
      <c r="M3" s="2"/>
      <c r="N3" s="2"/>
      <c r="O3" s="2"/>
      <c r="P3" s="2"/>
      <c r="Q3" s="2"/>
      <c r="R3" s="2"/>
      <c r="S3" s="2"/>
      <c r="T3" s="2"/>
      <c r="U3" s="2"/>
    </row>
    <row r="4" spans="1:40">
      <c r="A4" s="2"/>
      <c r="B4" s="2"/>
      <c r="C4" s="2"/>
      <c r="D4" s="2"/>
      <c r="E4" s="2"/>
      <c r="F4" s="2"/>
      <c r="G4" s="2"/>
      <c r="H4" s="2"/>
      <c r="I4" s="2"/>
      <c r="M4" s="2"/>
      <c r="N4" s="2"/>
      <c r="O4" s="2"/>
      <c r="P4" s="2"/>
      <c r="Q4" s="2"/>
      <c r="R4" s="2"/>
      <c r="S4" s="2"/>
      <c r="T4" s="2"/>
      <c r="U4" s="2"/>
    </row>
    <row r="5" spans="1:40">
      <c r="A5" s="2"/>
      <c r="B5" s="2"/>
      <c r="C5" s="2"/>
      <c r="D5" s="2"/>
      <c r="E5" s="2"/>
      <c r="F5" s="2"/>
      <c r="G5" s="2"/>
      <c r="H5" s="2"/>
      <c r="I5" s="2"/>
      <c r="M5" s="2"/>
      <c r="N5" s="2"/>
      <c r="O5" s="2"/>
      <c r="P5" s="2"/>
      <c r="Q5" s="2"/>
      <c r="R5" s="2"/>
      <c r="S5" s="2"/>
      <c r="T5" s="2"/>
      <c r="U5" s="2"/>
    </row>
    <row r="6" spans="1:40">
      <c r="A6" s="2"/>
      <c r="B6" s="2"/>
      <c r="C6" s="2"/>
      <c r="D6" s="2"/>
      <c r="E6" s="2"/>
      <c r="F6" s="2"/>
      <c r="G6" s="2"/>
      <c r="H6" s="2"/>
      <c r="I6" s="2"/>
      <c r="M6" s="2"/>
      <c r="N6" s="2"/>
      <c r="O6" s="2"/>
      <c r="P6" s="2"/>
      <c r="Q6" s="2"/>
      <c r="R6" s="2"/>
      <c r="S6" s="2"/>
      <c r="T6" s="2"/>
      <c r="U6" s="2"/>
    </row>
    <row r="7" spans="1:40">
      <c r="A7" s="2"/>
      <c r="B7" s="2"/>
      <c r="C7" s="2"/>
      <c r="D7" s="2"/>
      <c r="E7" s="2"/>
      <c r="F7" s="2"/>
      <c r="G7" s="2"/>
      <c r="H7" s="2"/>
      <c r="I7" s="2"/>
      <c r="M7" s="2"/>
      <c r="N7" s="2"/>
      <c r="O7" s="2"/>
      <c r="P7" s="2"/>
      <c r="Q7" s="2"/>
      <c r="R7" s="2"/>
      <c r="S7" s="2"/>
      <c r="T7" s="2"/>
      <c r="U7" s="2"/>
    </row>
    <row r="8" spans="1:40">
      <c r="A8" s="2"/>
      <c r="B8" s="2"/>
      <c r="C8" s="2"/>
      <c r="D8" s="2"/>
      <c r="E8" s="2"/>
      <c r="F8" s="2"/>
      <c r="G8" s="2"/>
      <c r="H8" s="2"/>
      <c r="I8" s="2"/>
      <c r="M8" s="2"/>
      <c r="N8" s="2"/>
      <c r="O8" s="2"/>
      <c r="P8" s="2"/>
      <c r="Q8" s="2"/>
      <c r="R8" s="2"/>
      <c r="S8" s="2"/>
      <c r="T8" s="2"/>
      <c r="U8" s="2"/>
    </row>
    <row r="9" spans="1:40">
      <c r="A9" s="2"/>
      <c r="B9" s="2"/>
      <c r="C9" s="2"/>
      <c r="D9" s="2"/>
      <c r="E9" s="2"/>
      <c r="F9" s="2"/>
      <c r="G9" s="2"/>
      <c r="H9" s="2"/>
      <c r="I9" s="2"/>
      <c r="M9" s="2"/>
      <c r="N9" s="2"/>
      <c r="O9" s="2"/>
      <c r="P9" s="2"/>
      <c r="Q9" s="2"/>
      <c r="R9" s="2"/>
      <c r="S9" s="2"/>
      <c r="T9" s="2"/>
      <c r="U9" s="2"/>
    </row>
    <row r="10" spans="1:40">
      <c r="A10" s="2"/>
      <c r="B10" s="2"/>
      <c r="C10" s="2"/>
      <c r="D10" s="2"/>
      <c r="E10" s="2"/>
      <c r="F10" s="2"/>
      <c r="G10" s="2"/>
      <c r="H10" s="2"/>
      <c r="I10" s="2"/>
      <c r="M10" s="2"/>
      <c r="N10" s="2"/>
      <c r="O10" s="2"/>
      <c r="P10" s="2"/>
      <c r="Q10" s="2"/>
      <c r="R10" s="2"/>
      <c r="S10" s="2"/>
      <c r="T10" s="2"/>
      <c r="U10" s="2"/>
    </row>
    <row r="11" spans="1:40">
      <c r="A11" s="2"/>
      <c r="B11" s="2"/>
      <c r="C11" s="2"/>
      <c r="D11" s="2"/>
      <c r="E11" s="2"/>
      <c r="F11" s="2"/>
      <c r="G11" s="2"/>
      <c r="H11" s="2"/>
      <c r="I11" s="2"/>
      <c r="M11" s="2"/>
      <c r="N11" s="2"/>
      <c r="O11" s="2"/>
      <c r="P11" s="2"/>
      <c r="Q11" s="2"/>
      <c r="R11" s="2"/>
      <c r="S11" s="2"/>
      <c r="T11" s="2"/>
      <c r="U11" s="2"/>
    </row>
    <row r="12" spans="1:40">
      <c r="A12" s="2"/>
      <c r="B12" s="2"/>
      <c r="C12" s="2"/>
      <c r="D12" s="2"/>
      <c r="E12" s="2"/>
      <c r="F12" s="2"/>
      <c r="G12" s="2"/>
      <c r="H12" s="2"/>
      <c r="I12" s="2"/>
      <c r="M12" s="2"/>
      <c r="N12" s="2"/>
      <c r="O12" s="2"/>
      <c r="P12" s="2"/>
      <c r="Q12" s="2"/>
      <c r="R12" s="2"/>
      <c r="S12" s="2"/>
      <c r="T12" s="2"/>
      <c r="U12" s="2"/>
    </row>
    <row r="13" spans="1:40">
      <c r="A13" s="2"/>
      <c r="B13" s="2"/>
      <c r="C13" s="2"/>
      <c r="D13" s="2"/>
      <c r="E13" s="2"/>
      <c r="F13" s="2"/>
      <c r="G13" s="2"/>
      <c r="H13" s="2"/>
      <c r="I13" s="2"/>
      <c r="M13" s="2"/>
      <c r="N13" s="2"/>
      <c r="O13" s="2"/>
      <c r="P13" s="2"/>
      <c r="Q13" s="2"/>
      <c r="R13" s="2"/>
      <c r="S13" s="2"/>
      <c r="T13" s="2"/>
      <c r="U13" s="2"/>
    </row>
    <row r="14" spans="1:40">
      <c r="A14" s="2"/>
      <c r="B14" s="2"/>
      <c r="C14" s="2"/>
      <c r="D14" s="2"/>
      <c r="E14" s="2"/>
      <c r="F14" s="2"/>
      <c r="G14" s="2"/>
      <c r="H14" s="2"/>
      <c r="I14" s="2"/>
      <c r="M14" s="2"/>
      <c r="N14" s="2"/>
      <c r="O14" s="2"/>
      <c r="P14" s="2"/>
      <c r="Q14" s="2"/>
      <c r="R14" s="2"/>
      <c r="S14" s="2"/>
      <c r="T14" s="2"/>
      <c r="U14" s="2"/>
    </row>
    <row r="15" spans="1:40">
      <c r="A15" s="2"/>
      <c r="B15" s="2"/>
      <c r="C15" s="2"/>
      <c r="D15" s="2"/>
      <c r="E15" s="2"/>
      <c r="F15" s="2"/>
      <c r="G15" s="2"/>
      <c r="H15" s="2"/>
      <c r="I15" s="2"/>
      <c r="M15" s="2"/>
      <c r="N15" s="2"/>
      <c r="O15" s="2"/>
      <c r="P15" s="2"/>
      <c r="Q15" s="2"/>
      <c r="R15" s="2"/>
      <c r="S15" s="2"/>
      <c r="T15" s="2"/>
      <c r="U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>
      <c r="A16" s="2"/>
      <c r="B16" s="2"/>
      <c r="C16" s="2"/>
      <c r="D16" s="2"/>
      <c r="E16" s="2"/>
      <c r="F16" s="2"/>
      <c r="G16" s="2"/>
      <c r="H16" s="2"/>
      <c r="I16" s="2"/>
      <c r="M16" s="2"/>
      <c r="N16" s="2"/>
      <c r="O16" s="2"/>
      <c r="P16" s="2"/>
      <c r="Q16" s="2"/>
      <c r="R16" s="2"/>
      <c r="S16" s="2"/>
      <c r="T16" s="2"/>
      <c r="U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>
      <c r="A17" s="2"/>
      <c r="B17" s="2"/>
      <c r="C17" s="2"/>
      <c r="D17" s="2"/>
      <c r="E17" s="2"/>
      <c r="F17" s="2"/>
      <c r="G17" s="2"/>
      <c r="H17" s="2"/>
      <c r="I17" s="2"/>
      <c r="M17" s="2"/>
      <c r="N17" s="2"/>
      <c r="O17" s="2"/>
      <c r="P17" s="2"/>
      <c r="Q17" s="2"/>
      <c r="R17" s="2"/>
      <c r="S17" s="2"/>
      <c r="T17" s="2"/>
      <c r="U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>
      <c r="A18" s="2"/>
      <c r="B18" s="2"/>
      <c r="C18" s="2"/>
      <c r="D18" s="2"/>
      <c r="E18" s="2"/>
      <c r="F18" s="2"/>
      <c r="G18" s="2"/>
      <c r="H18" s="2"/>
      <c r="I18" s="2"/>
      <c r="M18" s="2"/>
      <c r="N18" s="2"/>
      <c r="O18" s="2"/>
      <c r="P18" s="2"/>
      <c r="Q18" s="2"/>
      <c r="R18" s="2"/>
      <c r="S18" s="2"/>
      <c r="T18" s="2"/>
      <c r="U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>
      <c r="A19" s="2"/>
      <c r="B19" s="2"/>
      <c r="C19" s="2"/>
      <c r="D19" s="2"/>
      <c r="E19" s="2"/>
      <c r="F19" s="2"/>
      <c r="G19" s="2"/>
      <c r="H19" s="2"/>
      <c r="I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>
      <c r="A20" s="2"/>
      <c r="B20" s="2"/>
      <c r="C20" s="2"/>
      <c r="D20" s="2"/>
      <c r="E20" s="2"/>
      <c r="F20" s="2"/>
      <c r="G20" s="2"/>
      <c r="H20" s="2"/>
      <c r="I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>
      <c r="A21" s="2"/>
      <c r="B21" s="2"/>
      <c r="C21" s="2"/>
      <c r="D21" s="2"/>
      <c r="E21" s="2"/>
      <c r="F21" s="2"/>
      <c r="G21" s="2"/>
      <c r="H21" s="2"/>
      <c r="I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>
      <c r="A22" s="2"/>
      <c r="B22" s="2"/>
      <c r="C22" s="2"/>
      <c r="D22" s="2"/>
      <c r="E22" s="2"/>
      <c r="F22" s="2"/>
      <c r="G22" s="2"/>
      <c r="H22" s="2"/>
      <c r="I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>
      <c r="A23" s="2"/>
      <c r="B23" s="2"/>
      <c r="C23" s="2"/>
      <c r="D23" s="2"/>
      <c r="E23" s="2"/>
      <c r="F23" s="2"/>
      <c r="G23" s="2"/>
      <c r="H23" s="2"/>
      <c r="I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>
      <c r="A24" s="2"/>
      <c r="B24" s="2"/>
      <c r="C24" s="2"/>
      <c r="D24" s="2"/>
      <c r="E24" s="2"/>
      <c r="F24" s="2"/>
      <c r="G24" s="2"/>
      <c r="H24" s="2"/>
      <c r="I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>
      <c r="A25" s="2"/>
      <c r="B25" s="2"/>
      <c r="C25" s="2"/>
      <c r="D25" s="2"/>
      <c r="E25" s="2"/>
      <c r="F25" s="2"/>
      <c r="G25" s="2"/>
      <c r="H25" s="2"/>
      <c r="I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>
      <c r="A26" s="2"/>
      <c r="B26" s="2"/>
      <c r="C26" s="2"/>
      <c r="D26" s="2"/>
      <c r="E26" s="2"/>
      <c r="F26" s="2"/>
      <c r="G26" s="2"/>
      <c r="H26" s="2"/>
      <c r="I26" s="2"/>
      <c r="M26" s="2"/>
      <c r="N26" s="2"/>
      <c r="O26" s="2"/>
      <c r="P26" s="2"/>
      <c r="Q26" s="2"/>
      <c r="R26" s="2"/>
      <c r="S26" s="2"/>
      <c r="T26" s="2"/>
      <c r="U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>
      <c r="A27" s="2"/>
      <c r="B27" s="2"/>
      <c r="C27" s="2"/>
      <c r="D27" s="2"/>
      <c r="E27" s="2"/>
      <c r="F27" s="2"/>
      <c r="G27" s="2"/>
      <c r="H27" s="2"/>
      <c r="I27" s="2"/>
      <c r="M27" s="2"/>
      <c r="N27" s="2"/>
      <c r="O27" s="2"/>
      <c r="P27" s="2"/>
      <c r="Q27" s="2"/>
      <c r="R27" s="2"/>
      <c r="S27" s="2"/>
      <c r="T27" s="2"/>
      <c r="U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>
      <c r="A28" s="2"/>
      <c r="B28" s="2"/>
      <c r="C28" s="2"/>
      <c r="D28" s="2"/>
      <c r="E28" s="2"/>
      <c r="F28" s="2"/>
      <c r="G28" s="2"/>
      <c r="H28" s="2"/>
      <c r="I28" s="2"/>
      <c r="M28" s="2"/>
      <c r="N28" s="2"/>
      <c r="O28" s="2"/>
      <c r="P28" s="2"/>
      <c r="Q28" s="2"/>
      <c r="R28" s="2"/>
      <c r="S28" s="2"/>
      <c r="T28" s="2"/>
      <c r="U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>
      <c r="A29" s="2"/>
      <c r="B29" s="2"/>
      <c r="C29" s="2"/>
      <c r="D29" s="2"/>
      <c r="E29" s="2"/>
      <c r="F29" s="2"/>
      <c r="G29" s="2"/>
      <c r="H29" s="2"/>
      <c r="I29" s="2"/>
      <c r="M29" s="2"/>
      <c r="N29" s="2"/>
      <c r="O29" s="2"/>
      <c r="P29" s="2"/>
      <c r="Q29" s="2"/>
      <c r="R29" s="2"/>
      <c r="S29" s="2"/>
      <c r="T29" s="2"/>
      <c r="U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>
      <c r="A30" s="2"/>
      <c r="B30" s="2"/>
      <c r="C30" s="2"/>
      <c r="D30" s="2"/>
      <c r="E30" s="2"/>
      <c r="F30" s="2"/>
      <c r="G30" s="2"/>
      <c r="H30" s="2"/>
      <c r="I30" s="2"/>
      <c r="M30" s="2"/>
      <c r="N30" s="2"/>
      <c r="O30" s="2"/>
      <c r="P30" s="2"/>
      <c r="Q30" s="2"/>
      <c r="R30" s="2"/>
      <c r="S30" s="2"/>
      <c r="T30" s="2"/>
      <c r="U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>
      <c r="A31" s="2"/>
      <c r="B31" s="2"/>
      <c r="C31" s="2"/>
      <c r="D31" s="2"/>
      <c r="E31" s="2"/>
      <c r="F31" s="2"/>
      <c r="G31" s="2"/>
      <c r="H31" s="2"/>
      <c r="I31" s="2"/>
      <c r="M31" s="2"/>
      <c r="N31" s="2"/>
      <c r="O31" s="2"/>
      <c r="P31" s="2"/>
      <c r="Q31" s="2"/>
      <c r="R31" s="2"/>
      <c r="S31" s="2"/>
      <c r="T31" s="2"/>
      <c r="U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>
      <c r="A32" s="2"/>
      <c r="B32" s="2"/>
      <c r="C32" s="2"/>
      <c r="D32" s="2"/>
      <c r="E32" s="2"/>
      <c r="F32" s="2"/>
      <c r="G32" s="2"/>
      <c r="H32" s="2"/>
      <c r="I32" s="2"/>
      <c r="M32" s="2"/>
      <c r="N32" s="2"/>
      <c r="O32" s="2"/>
      <c r="P32" s="2"/>
      <c r="Q32" s="2"/>
      <c r="R32" s="2"/>
      <c r="S32" s="2"/>
      <c r="T32" s="2"/>
      <c r="U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>
      <c r="A33" s="2"/>
      <c r="B33" s="2"/>
      <c r="C33" s="2"/>
      <c r="D33" s="2"/>
      <c r="E33" s="2"/>
      <c r="F33" s="2"/>
      <c r="G33" s="2"/>
      <c r="H33" s="2"/>
      <c r="I33" s="2"/>
      <c r="M33" s="2"/>
      <c r="N33" s="2"/>
      <c r="O33" s="2"/>
      <c r="P33" s="2"/>
      <c r="Q33" s="2"/>
      <c r="R33" s="2"/>
      <c r="S33" s="2"/>
      <c r="T33" s="2"/>
      <c r="U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>
      <c r="A34" s="2"/>
      <c r="B34" s="2"/>
      <c r="C34" s="2"/>
      <c r="D34" s="2"/>
      <c r="E34" s="2"/>
      <c r="F34" s="2"/>
      <c r="G34" s="2"/>
      <c r="H34" s="2"/>
      <c r="I34" s="2"/>
      <c r="M34" s="2"/>
      <c r="N34" s="2"/>
      <c r="O34" s="2"/>
      <c r="P34" s="2"/>
      <c r="Q34" s="2"/>
      <c r="R34" s="2"/>
      <c r="S34" s="2"/>
      <c r="T34" s="2"/>
      <c r="U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>
      <c r="A35" s="2"/>
      <c r="B35" s="2"/>
      <c r="C35" s="2"/>
      <c r="D35" s="2"/>
      <c r="E35" s="2"/>
      <c r="F35" s="2"/>
      <c r="G35" s="2"/>
      <c r="H35" s="2"/>
      <c r="I35" s="2"/>
      <c r="M35" s="2"/>
      <c r="N35" s="2"/>
      <c r="O35" s="2"/>
      <c r="P35" s="2"/>
      <c r="Q35" s="2"/>
      <c r="R35" s="2"/>
      <c r="S35" s="2"/>
      <c r="T35" s="2"/>
      <c r="U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>
      <c r="A36" s="2"/>
      <c r="B36" s="2"/>
      <c r="C36" s="2"/>
      <c r="D36" s="2"/>
      <c r="E36" s="2"/>
      <c r="F36" s="2"/>
      <c r="G36" s="2"/>
      <c r="H36" s="2"/>
      <c r="I36" s="2"/>
      <c r="M36" s="2"/>
      <c r="N36" s="2"/>
      <c r="O36" s="2"/>
      <c r="P36" s="2"/>
      <c r="Q36" s="2"/>
      <c r="R36" s="2"/>
      <c r="S36" s="2"/>
      <c r="T36" s="2"/>
      <c r="U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>
      <c r="A37" s="2"/>
      <c r="B37" s="2"/>
      <c r="C37" s="2"/>
      <c r="D37" s="2"/>
      <c r="E37" s="2"/>
      <c r="F37" s="2"/>
      <c r="G37" s="2"/>
      <c r="H37" s="2"/>
      <c r="I37" s="2"/>
      <c r="M37" s="2"/>
      <c r="N37" s="2"/>
      <c r="O37" s="2"/>
      <c r="P37" s="2"/>
      <c r="Q37" s="2"/>
      <c r="R37" s="2"/>
      <c r="S37" s="2"/>
      <c r="T37" s="2"/>
      <c r="U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>
      <c r="A38" s="2"/>
      <c r="B38" s="2"/>
      <c r="C38" s="2"/>
      <c r="D38" s="2"/>
      <c r="E38" s="2"/>
      <c r="F38" s="2"/>
      <c r="G38" s="2"/>
      <c r="H38" s="2"/>
      <c r="I38" s="2"/>
      <c r="M38" s="2"/>
      <c r="N38" s="2"/>
      <c r="O38" s="2"/>
      <c r="P38" s="2"/>
      <c r="Q38" s="2"/>
      <c r="R38" s="2"/>
      <c r="S38" s="2"/>
      <c r="T38" s="2"/>
      <c r="U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>
      <c r="A39" s="2"/>
      <c r="B39" s="2"/>
      <c r="C39" s="2"/>
      <c r="D39" s="2"/>
      <c r="E39" s="2"/>
      <c r="F39" s="2"/>
      <c r="G39" s="2"/>
      <c r="H39" s="2"/>
      <c r="I39" s="2"/>
      <c r="M39" s="2"/>
      <c r="N39" s="2"/>
      <c r="O39" s="2"/>
      <c r="P39" s="2"/>
      <c r="Q39" s="2"/>
      <c r="R39" s="2"/>
      <c r="S39" s="2"/>
      <c r="T39" s="2"/>
      <c r="U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>
      <c r="A40" s="2"/>
      <c r="B40" s="2"/>
      <c r="C40" s="2"/>
      <c r="D40" s="2"/>
      <c r="E40" s="2"/>
      <c r="F40" s="2"/>
      <c r="G40" s="2"/>
      <c r="H40" s="2"/>
      <c r="I40" s="2"/>
      <c r="M40" s="2"/>
      <c r="N40" s="2"/>
      <c r="O40" s="2"/>
      <c r="P40" s="2"/>
      <c r="Q40" s="2"/>
      <c r="R40" s="2"/>
      <c r="S40" s="2"/>
      <c r="T40" s="2"/>
      <c r="U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>
      <c r="A41" s="2"/>
    </row>
    <row r="42" spans="1:40">
      <c r="A42" s="2"/>
    </row>
  </sheetData>
  <sheetProtection formatCells="0" insertHyperlinks="0" autoFilter="0"/>
  <pageMargins left="0.75" right="0.75" top="1" bottom="1" header="0.5" footer="0.5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B9" sqref="B9"/>
    </sheetView>
  </sheetViews>
  <sheetFormatPr defaultColWidth="9.02654867256637" defaultRowHeight="13.5" outlineLevelRow="6" outlineLevelCol="2"/>
  <cols>
    <col min="1" max="1" width="35.3185840707965" customWidth="1"/>
    <col min="2" max="2" width="17.5929203539823" customWidth="1"/>
  </cols>
  <sheetData>
    <row r="1" spans="1:3">
      <c r="A1" t="s">
        <v>93</v>
      </c>
      <c r="B1" t="s">
        <v>94</v>
      </c>
      <c r="C1" t="s">
        <v>95</v>
      </c>
    </row>
    <row r="2" spans="1:3">
      <c r="A2" t="s">
        <v>70</v>
      </c>
      <c r="B2" t="s">
        <v>82</v>
      </c>
      <c r="C2" t="s">
        <v>81</v>
      </c>
    </row>
    <row r="3" spans="1:3">
      <c r="A3" t="s">
        <v>73</v>
      </c>
      <c r="B3" t="s">
        <v>96</v>
      </c>
      <c r="C3" t="s">
        <v>83</v>
      </c>
    </row>
    <row r="4" spans="1:3">
      <c r="A4" t="s">
        <v>72</v>
      </c>
      <c r="B4" t="s">
        <v>97</v>
      </c>
      <c r="C4" t="s">
        <v>84</v>
      </c>
    </row>
    <row r="5" spans="1:3">
      <c r="A5" t="s">
        <v>71</v>
      </c>
      <c r="B5" t="s">
        <v>98</v>
      </c>
      <c r="C5" t="s">
        <v>85</v>
      </c>
    </row>
    <row r="6" spans="1:3">
      <c r="A6" t="s">
        <v>84</v>
      </c>
      <c r="B6" t="s">
        <v>99</v>
      </c>
    </row>
    <row r="7" spans="1:3">
      <c r="A7" t="s">
        <v>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封面</vt:lpstr>
      <vt:lpstr>基础信息表</vt:lpstr>
      <vt:lpstr>BOM清单</vt:lpstr>
      <vt:lpstr>原材料出入库表</vt:lpstr>
      <vt:lpstr>成品出入库表</vt:lpstr>
      <vt:lpstr>原材料库存表</vt:lpstr>
      <vt:lpstr>成品库存表</vt:lpstr>
      <vt:lpstr>使用说明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Persistent</cp:lastModifiedBy>
  <dcterms:created xsi:type="dcterms:W3CDTF">2022-06-22T04:33:00Z</dcterms:created>
  <dcterms:modified xsi:type="dcterms:W3CDTF">2026-05-15T07:05:58Z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C6DC671F07D944C4AB2B8FB473FD0171_13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